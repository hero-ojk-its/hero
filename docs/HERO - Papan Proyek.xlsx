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cker" sheetId="2" state="visible" r:id="rId2"/>
    <sheet name="Milestone" sheetId="3" state="visible" r:id="rId3"/>
    <sheet name="Referensi" sheetId="4" state="visible" r:id="rId4"/>
  </sheets>
  <definedNames>
    <definedName name="_xlnm._FilterDatabase" localSheetId="1" hidden="1">'Tracker'!$A$4:$O$94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4">
    <font>
      <name val="Calibri"/>
      <family val="2"/>
      <color theme="1"/>
      <sz val="11"/>
      <scheme val="minor"/>
    </font>
    <font>
      <name val="Arial"/>
      <b val="1"/>
      <color rgb="FF1F2937"/>
      <sz val="16"/>
    </font>
    <font>
      <name val="Arial"/>
      <color rgb="FF6B7280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b val="1"/>
      <color rgb="FF1F2937"/>
      <sz val="11"/>
    </font>
    <font>
      <name val="Arial"/>
      <color rgb="FF6B7280"/>
      <sz val="9"/>
    </font>
    <font>
      <name val="Arial"/>
      <color rgb="FF1E40AF"/>
      <sz val="10"/>
    </font>
    <font>
      <name val="Arial"/>
      <b val="1"/>
      <color rgb="FF374151"/>
      <sz val="10"/>
    </font>
    <font>
      <name val="Arial"/>
      <b val="1"/>
      <color rgb="FF1E40AF"/>
      <sz val="10"/>
    </font>
    <font>
      <name val="Arial"/>
      <b val="1"/>
      <color rgb="FF92400E"/>
      <sz val="10"/>
    </font>
    <font>
      <name val="Arial"/>
      <b val="1"/>
      <color rgb="FF065F46"/>
      <sz val="10"/>
    </font>
    <font>
      <name val="Arial"/>
      <b val="1"/>
      <color rgb="FF991B1B"/>
      <sz val="10"/>
    </font>
  </fonts>
  <fills count="12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FE4E6"/>
      </patternFill>
    </fill>
    <fill>
      <patternFill patternType="solid">
        <fgColor rgb="FFE0F2FE"/>
      </patternFill>
    </fill>
    <fill>
      <patternFill patternType="solid">
        <fgColor rgb="FFF3F4F6"/>
      </patternFill>
    </fill>
    <fill>
      <patternFill patternType="solid">
        <fgColor rgb="FFFECACA"/>
      </patternFill>
    </fill>
    <fill>
      <patternFill patternType="solid">
        <fgColor rgb="FFE5E7EB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right"/>
    </xf>
    <xf numFmtId="165" fontId="5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9" fontId="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11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8">
    <dxf>
      <font>
        <name val="Arial"/>
        <b val="1"/>
        <color rgb="FF374151"/>
        <sz val="10"/>
      </font>
      <fill>
        <patternFill patternType="solid">
          <fgColor rgb="FFE5E7EB"/>
        </patternFill>
      </fill>
    </dxf>
    <dxf>
      <font>
        <name val="Arial"/>
        <b val="1"/>
        <color rgb="FF1E40AF"/>
        <sz val="10"/>
      </font>
      <fill>
        <patternFill patternType="solid">
          <fgColor rgb="FFDBEAFE"/>
        </patternFill>
      </fill>
    </dxf>
    <dxf>
      <font>
        <name val="Arial"/>
        <b val="1"/>
        <color rgb="FF92400E"/>
        <sz val="10"/>
      </font>
      <fill>
        <patternFill patternType="solid">
          <fgColor rgb="FFFEF3C7"/>
        </patternFill>
      </fill>
    </dxf>
    <dxf>
      <font>
        <name val="Arial"/>
        <b val="1"/>
        <color rgb="FF065F46"/>
        <sz val="10"/>
      </font>
      <fill>
        <patternFill patternType="solid">
          <fgColor rgb="FFD1FAE5"/>
        </patternFill>
      </fill>
    </dxf>
    <dxf>
      <font>
        <name val="Arial"/>
        <b val="1"/>
        <color rgb="FF991B1B"/>
        <sz val="10"/>
      </font>
      <fill>
        <patternFill patternType="solid">
          <fgColor rgb="FFFECACA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FEDD5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F3F4F6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FE4E6"/>
        </patternFill>
      </fill>
    </dxf>
    <dxf>
      <fill>
        <patternFill patternType="solid">
          <fgColor rgb="FFE0F2FE"/>
        </patternFill>
      </fill>
    </dxf>
    <dxf>
      <font>
        <name val="Arial"/>
        <color rgb="FF9CA3AF"/>
      </font>
    </dxf>
    <dxf>
      <font>
        <name val="Arial"/>
        <b val="1"/>
        <color rgb="FF991B1B"/>
      </font>
    </dxf>
    <dxf>
      <fill>
        <patternFill patternType="solid">
          <fgColor rgb="FF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7" customWidth="1" min="4" max="4"/>
    <col width="8" customWidth="1" min="5" max="5"/>
    <col width="11" customWidth="1" min="6" max="6"/>
    <col width="10" customWidth="1" min="7" max="7"/>
    <col width="7" customWidth="1" min="8" max="8"/>
    <col width="9" customWidth="1" min="9" max="9"/>
    <col width="10" customWidth="1" min="10" max="10"/>
    <col width="24" customWidth="1" min="11" max="11"/>
    <col width="9" customWidth="1" min="12" max="12"/>
    <col width="10" customWidth="1" min="13" max="13"/>
    <col width="11" customWidth="1" min="14" max="14"/>
  </cols>
  <sheetData>
    <row r="1" ht="26" customHeight="1">
      <c r="A1" s="1" t="inlineStr">
        <is>
          <t>HERO — DASHBOARD PROYEK</t>
        </is>
      </c>
    </row>
    <row r="2">
      <c r="A2" s="2" t="inlineStr">
        <is>
          <t>Seluruh angka dihitung otomatis dari sheet Tracker dan Milestone. Jangan diketik manual.</t>
        </is>
      </c>
      <c r="H2" s="3" t="inlineStr">
        <is>
          <t>Diperbarui:</t>
        </is>
      </c>
      <c r="I2" s="4" t="n">
        <v>46279</v>
      </c>
    </row>
    <row r="4" ht="34" customHeight="1">
      <c r="A4" s="5" t="inlineStr">
        <is>
          <t>Fase</t>
        </is>
      </c>
      <c r="B4" s="5" t="inlineStr">
        <is>
          <t>Milestone</t>
        </is>
      </c>
      <c r="C4" s="5" t="inlineStr">
        <is>
          <t>Periode</t>
        </is>
      </c>
      <c r="D4" s="5" t="inlineStr">
        <is>
          <t>Task</t>
        </is>
      </c>
      <c r="E4" s="5" t="inlineStr">
        <is>
          <t>To Do</t>
        </is>
      </c>
      <c r="F4" s="5" t="inlineStr">
        <is>
          <t>In Progress</t>
        </is>
      </c>
      <c r="G4" s="5" t="inlineStr">
        <is>
          <t>In Review</t>
        </is>
      </c>
      <c r="H4" s="5" t="inlineStr">
        <is>
          <t>Done</t>
        </is>
      </c>
      <c r="I4" s="5" t="inlineStr">
        <is>
          <t>Blocked</t>
        </is>
      </c>
      <c r="J4" s="5" t="inlineStr">
        <is>
          <t>% Selesai</t>
        </is>
      </c>
      <c r="K4" s="5" t="inlineStr">
        <is>
          <t>Progres</t>
        </is>
      </c>
      <c r="L4" s="5" t="inlineStr">
        <is>
          <t>SP Total</t>
        </is>
      </c>
      <c r="M4" s="5" t="inlineStr">
        <is>
          <t>SP Selesai</t>
        </is>
      </c>
      <c r="N4" s="5" t="inlineStr">
        <is>
          <t>Indikator</t>
        </is>
      </c>
    </row>
    <row r="5" ht="24" customHeight="1">
      <c r="A5" s="6" t="inlineStr">
        <is>
          <t>Fase 0</t>
        </is>
      </c>
      <c r="B5" s="7" t="inlineStr">
        <is>
          <t>Inception &amp; Setup</t>
        </is>
      </c>
      <c r="C5" s="8" t="inlineStr">
        <is>
          <t>31 Aug – 13 Sep</t>
        </is>
      </c>
      <c r="D5" s="9">
        <f>COUNTIF(Tracker!$B:$B,A5)</f>
        <v/>
      </c>
      <c r="E5" s="10">
        <f>COUNTIFS(Tracker!$B:$B,A5,Tracker!$L:$L,"To Do")</f>
        <v/>
      </c>
      <c r="F5" s="10">
        <f>COUNTIFS(Tracker!$B:$B,A5,Tracker!$L:$L,"In Progress")</f>
        <v/>
      </c>
      <c r="G5" s="10">
        <f>COUNTIFS(Tracker!$B:$B,A5,Tracker!$L:$L,"In Review / Testing")</f>
        <v/>
      </c>
      <c r="H5" s="10">
        <f>COUNTIFS(Tracker!$B:$B,A5,Tracker!$L:$L,"Done")</f>
        <v/>
      </c>
      <c r="I5" s="10">
        <f>COUNTIFS(Tracker!$B:$B,A5,Tracker!$L:$L,"Blocked")</f>
        <v/>
      </c>
      <c r="J5" s="11">
        <f>IFERROR(H5/D5,0)</f>
        <v/>
      </c>
      <c r="K5" s="12">
        <f>REPT("█",ROUND(J5*20,0))&amp;REPT("░",20-ROUND(J5*20,0))</f>
        <v/>
      </c>
      <c r="L5" s="10">
        <f>SUMIF(Tracker!$B:$B,A5,Tracker!$J:$J)</f>
        <v/>
      </c>
      <c r="M5" s="10">
        <f>SUMIFS(Tracker!$J:$J,Tracker!$B:$B,A5,Tracker!$L:$L,"Done")</f>
        <v/>
      </c>
      <c r="N5" s="10">
        <f>COUNTIF(Milestone!$E$5:$E$7,"Tercapai")&amp;" / "&amp;ROWS(Milestone!$E$5:$E$7)</f>
        <v/>
      </c>
    </row>
    <row r="6" ht="24" customHeight="1">
      <c r="A6" s="13" t="inlineStr">
        <is>
          <t>Fase 1</t>
        </is>
      </c>
      <c r="B6" s="7" t="inlineStr">
        <is>
          <t>MVP Scraping &amp; Ingest</t>
        </is>
      </c>
      <c r="C6" s="8" t="inlineStr">
        <is>
          <t>14 Sep – 11 Oct</t>
        </is>
      </c>
      <c r="D6" s="9">
        <f>COUNTIF(Tracker!$B:$B,A6)</f>
        <v/>
      </c>
      <c r="E6" s="10">
        <f>COUNTIFS(Tracker!$B:$B,A6,Tracker!$L:$L,"To Do")</f>
        <v/>
      </c>
      <c r="F6" s="10">
        <f>COUNTIFS(Tracker!$B:$B,A6,Tracker!$L:$L,"In Progress")</f>
        <v/>
      </c>
      <c r="G6" s="10">
        <f>COUNTIFS(Tracker!$B:$B,A6,Tracker!$L:$L,"In Review / Testing")</f>
        <v/>
      </c>
      <c r="H6" s="10">
        <f>COUNTIFS(Tracker!$B:$B,A6,Tracker!$L:$L,"Done")</f>
        <v/>
      </c>
      <c r="I6" s="10">
        <f>COUNTIFS(Tracker!$B:$B,A6,Tracker!$L:$L,"Blocked")</f>
        <v/>
      </c>
      <c r="J6" s="11">
        <f>IFERROR(H6/D6,0)</f>
        <v/>
      </c>
      <c r="K6" s="12">
        <f>REPT("█",ROUND(J6*20,0))&amp;REPT("░",20-ROUND(J6*20,0))</f>
        <v/>
      </c>
      <c r="L6" s="10">
        <f>SUMIF(Tracker!$B:$B,A6,Tracker!$J:$J)</f>
        <v/>
      </c>
      <c r="M6" s="10">
        <f>SUMIFS(Tracker!$J:$J,Tracker!$B:$B,A6,Tracker!$L:$L,"Done")</f>
        <v/>
      </c>
      <c r="N6" s="10">
        <f>COUNTIF(Milestone!$E$8:$E$12,"Tercapai")&amp;" / "&amp;ROWS(Milestone!$E$8:$E$12)</f>
        <v/>
      </c>
    </row>
    <row r="7" ht="24" customHeight="1">
      <c r="A7" s="14" t="inlineStr">
        <is>
          <t>Fase 2</t>
        </is>
      </c>
      <c r="B7" s="7" t="inlineStr">
        <is>
          <t>MVP Analisa &amp; Summary</t>
        </is>
      </c>
      <c r="C7" s="8" t="inlineStr">
        <is>
          <t>12 Oct – 08 Nov</t>
        </is>
      </c>
      <c r="D7" s="9">
        <f>COUNTIF(Tracker!$B:$B,A7)</f>
        <v/>
      </c>
      <c r="E7" s="10">
        <f>COUNTIFS(Tracker!$B:$B,A7,Tracker!$L:$L,"To Do")</f>
        <v/>
      </c>
      <c r="F7" s="10">
        <f>COUNTIFS(Tracker!$B:$B,A7,Tracker!$L:$L,"In Progress")</f>
        <v/>
      </c>
      <c r="G7" s="10">
        <f>COUNTIFS(Tracker!$B:$B,A7,Tracker!$L:$L,"In Review / Testing")</f>
        <v/>
      </c>
      <c r="H7" s="10">
        <f>COUNTIFS(Tracker!$B:$B,A7,Tracker!$L:$L,"Done")</f>
        <v/>
      </c>
      <c r="I7" s="10">
        <f>COUNTIFS(Tracker!$B:$B,A7,Tracker!$L:$L,"Blocked")</f>
        <v/>
      </c>
      <c r="J7" s="11">
        <f>IFERROR(H7/D7,0)</f>
        <v/>
      </c>
      <c r="K7" s="12">
        <f>REPT("█",ROUND(J7*20,0))&amp;REPT("░",20-ROUND(J7*20,0))</f>
        <v/>
      </c>
      <c r="L7" s="10">
        <f>SUMIF(Tracker!$B:$B,A7,Tracker!$J:$J)</f>
        <v/>
      </c>
      <c r="M7" s="10">
        <f>SUMIFS(Tracker!$J:$J,Tracker!$B:$B,A7,Tracker!$L:$L,"Done")</f>
        <v/>
      </c>
      <c r="N7" s="10">
        <f>COUNTIF(Milestone!$E$13:$E$15,"Tercapai")&amp;" / "&amp;ROWS(Milestone!$E$13:$E$15)</f>
        <v/>
      </c>
    </row>
    <row r="8" ht="24" customHeight="1">
      <c r="A8" s="15" t="inlineStr">
        <is>
          <t>Fase 3</t>
        </is>
      </c>
      <c r="B8" s="7" t="inlineStr">
        <is>
          <t>MVP Harmonisasi</t>
        </is>
      </c>
      <c r="C8" s="8" t="inlineStr">
        <is>
          <t>09 Nov – 29 Nov</t>
        </is>
      </c>
      <c r="D8" s="9">
        <f>COUNTIF(Tracker!$B:$B,A8)</f>
        <v/>
      </c>
      <c r="E8" s="10">
        <f>COUNTIFS(Tracker!$B:$B,A8,Tracker!$L:$L,"To Do")</f>
        <v/>
      </c>
      <c r="F8" s="10">
        <f>COUNTIFS(Tracker!$B:$B,A8,Tracker!$L:$L,"In Progress")</f>
        <v/>
      </c>
      <c r="G8" s="10">
        <f>COUNTIFS(Tracker!$B:$B,A8,Tracker!$L:$L,"In Review / Testing")</f>
        <v/>
      </c>
      <c r="H8" s="10">
        <f>COUNTIFS(Tracker!$B:$B,A8,Tracker!$L:$L,"Done")</f>
        <v/>
      </c>
      <c r="I8" s="10">
        <f>COUNTIFS(Tracker!$B:$B,A8,Tracker!$L:$L,"Blocked")</f>
        <v/>
      </c>
      <c r="J8" s="11">
        <f>IFERROR(H8/D8,0)</f>
        <v/>
      </c>
      <c r="K8" s="12">
        <f>REPT("█",ROUND(J8*20,0))&amp;REPT("░",20-ROUND(J8*20,0))</f>
        <v/>
      </c>
      <c r="L8" s="10">
        <f>SUMIF(Tracker!$B:$B,A8,Tracker!$J:$J)</f>
        <v/>
      </c>
      <c r="M8" s="10">
        <f>SUMIFS(Tracker!$J:$J,Tracker!$B:$B,A8,Tracker!$L:$L,"Done")</f>
        <v/>
      </c>
      <c r="N8" s="10">
        <f>COUNTIF(Milestone!$E$16:$E$17,"Tercapai")&amp;" / "&amp;ROWS(Milestone!$E$16:$E$17)</f>
        <v/>
      </c>
    </row>
    <row r="9" ht="24" customHeight="1">
      <c r="A9" s="16" t="inlineStr">
        <is>
          <t>Fase 4</t>
        </is>
      </c>
      <c r="B9" s="7" t="inlineStr">
        <is>
          <t>MVP Tanggapan PoV</t>
        </is>
      </c>
      <c r="C9" s="8" t="inlineStr">
        <is>
          <t>30 Nov – 13 Dec</t>
        </is>
      </c>
      <c r="D9" s="9">
        <f>COUNTIF(Tracker!$B:$B,A9)</f>
        <v/>
      </c>
      <c r="E9" s="10">
        <f>COUNTIFS(Tracker!$B:$B,A9,Tracker!$L:$L,"To Do")</f>
        <v/>
      </c>
      <c r="F9" s="10">
        <f>COUNTIFS(Tracker!$B:$B,A9,Tracker!$L:$L,"In Progress")</f>
        <v/>
      </c>
      <c r="G9" s="10">
        <f>COUNTIFS(Tracker!$B:$B,A9,Tracker!$L:$L,"In Review / Testing")</f>
        <v/>
      </c>
      <c r="H9" s="10">
        <f>COUNTIFS(Tracker!$B:$B,A9,Tracker!$L:$L,"Done")</f>
        <v/>
      </c>
      <c r="I9" s="10">
        <f>COUNTIFS(Tracker!$B:$B,A9,Tracker!$L:$L,"Blocked")</f>
        <v/>
      </c>
      <c r="J9" s="11">
        <f>IFERROR(H9/D9,0)</f>
        <v/>
      </c>
      <c r="K9" s="12">
        <f>REPT("█",ROUND(J9*20,0))&amp;REPT("░",20-ROUND(J9*20,0))</f>
        <v/>
      </c>
      <c r="L9" s="10">
        <f>SUMIF(Tracker!$B:$B,A9,Tracker!$J:$J)</f>
        <v/>
      </c>
      <c r="M9" s="10">
        <f>SUMIFS(Tracker!$J:$J,Tracker!$B:$B,A9,Tracker!$L:$L,"Done")</f>
        <v/>
      </c>
      <c r="N9" s="10">
        <f>COUNTIF(Milestone!$E$18:$E$19,"Tercapai")&amp;" / "&amp;ROWS(Milestone!$E$18:$E$19)</f>
        <v/>
      </c>
    </row>
    <row r="10" ht="24" customHeight="1">
      <c r="A10" s="17" t="inlineStr">
        <is>
          <t>Fase 5</t>
        </is>
      </c>
      <c r="B10" s="7" t="inlineStr">
        <is>
          <t>Stabilisasi &amp; UAT</t>
        </is>
      </c>
      <c r="C10" s="8" t="inlineStr">
        <is>
          <t>14 Dec – 24 Dec</t>
        </is>
      </c>
      <c r="D10" s="9">
        <f>COUNTIF(Tracker!$B:$B,A10)</f>
        <v/>
      </c>
      <c r="E10" s="10">
        <f>COUNTIFS(Tracker!$B:$B,A10,Tracker!$L:$L,"To Do")</f>
        <v/>
      </c>
      <c r="F10" s="10">
        <f>COUNTIFS(Tracker!$B:$B,A10,Tracker!$L:$L,"In Progress")</f>
        <v/>
      </c>
      <c r="G10" s="10">
        <f>COUNTIFS(Tracker!$B:$B,A10,Tracker!$L:$L,"In Review / Testing")</f>
        <v/>
      </c>
      <c r="H10" s="10">
        <f>COUNTIFS(Tracker!$B:$B,A10,Tracker!$L:$L,"Done")</f>
        <v/>
      </c>
      <c r="I10" s="10">
        <f>COUNTIFS(Tracker!$B:$B,A10,Tracker!$L:$L,"Blocked")</f>
        <v/>
      </c>
      <c r="J10" s="11">
        <f>IFERROR(H10/D10,0)</f>
        <v/>
      </c>
      <c r="K10" s="12">
        <f>REPT("█",ROUND(J10*20,0))&amp;REPT("░",20-ROUND(J10*20,0))</f>
        <v/>
      </c>
      <c r="L10" s="10">
        <f>SUMIF(Tracker!$B:$B,A10,Tracker!$J:$J)</f>
        <v/>
      </c>
      <c r="M10" s="10">
        <f>SUMIFS(Tracker!$J:$J,Tracker!$B:$B,A10,Tracker!$L:$L,"Done")</f>
        <v/>
      </c>
      <c r="N10" s="10">
        <f>COUNTIF(Milestone!$E$20:$E$22,"Tercapai")&amp;" / "&amp;ROWS(Milestone!$E$20:$E$22)</f>
        <v/>
      </c>
    </row>
    <row r="11">
      <c r="A11" s="18" t="inlineStr">
        <is>
          <t>TOTAL</t>
        </is>
      </c>
      <c r="B11" s="19" t="n"/>
      <c r="C11" s="19" t="n"/>
      <c r="D11" s="18">
        <f>SUM(D5:D10)</f>
        <v/>
      </c>
      <c r="E11" s="18">
        <f>SUM(E5:E10)</f>
        <v/>
      </c>
      <c r="F11" s="18">
        <f>SUM(F5:F10)</f>
        <v/>
      </c>
      <c r="G11" s="18">
        <f>SUM(G5:G10)</f>
        <v/>
      </c>
      <c r="H11" s="18">
        <f>SUM(H5:H10)</f>
        <v/>
      </c>
      <c r="I11" s="18">
        <f>SUM(I5:I10)</f>
        <v/>
      </c>
      <c r="J11" s="20">
        <f>IFERROR(H11/D11,0)</f>
        <v/>
      </c>
      <c r="K11" s="21">
        <f>REPT("█",ROUND(J11*20,0))&amp;REPT("░",20-ROUND(J11*20,0))</f>
        <v/>
      </c>
      <c r="L11" s="18">
        <f>SUM(L5:L10)</f>
        <v/>
      </c>
      <c r="M11" s="18">
        <f>SUM(M5:M10)</f>
        <v/>
      </c>
      <c r="N11" s="18">
        <f>COUNTIF(Milestone!$E:$E,"Tercapai")&amp;" / "&amp;COUNTA(Milestone!$D$5:$D$22)</f>
        <v/>
      </c>
    </row>
    <row r="14">
      <c r="A14" s="22" t="inlineStr">
        <is>
          <t>BEBAN PER PIC</t>
        </is>
      </c>
    </row>
    <row r="15" ht="28" customHeight="1">
      <c r="A15" s="5" t="inlineStr">
        <is>
          <t>PIC</t>
        </is>
      </c>
      <c r="B15" s="5" t="inlineStr">
        <is>
          <t>Total</t>
        </is>
      </c>
      <c r="C15" s="5" t="inlineStr">
        <is>
          <t>To Do</t>
        </is>
      </c>
      <c r="D15" s="5" t="inlineStr">
        <is>
          <t>In Progress</t>
        </is>
      </c>
      <c r="E15" s="5" t="inlineStr">
        <is>
          <t>In Review</t>
        </is>
      </c>
      <c r="F15" s="5" t="inlineStr">
        <is>
          <t>Done</t>
        </is>
      </c>
      <c r="G15" s="5" t="inlineStr">
        <is>
          <t>Blocked</t>
        </is>
      </c>
      <c r="H15" s="5" t="inlineStr">
        <is>
          <t>SP Aktif</t>
        </is>
      </c>
    </row>
    <row r="16">
      <c r="A16" s="23" t="inlineStr">
        <is>
          <t>Zaky</t>
        </is>
      </c>
      <c r="B16" s="9">
        <f>COUNTIF(Tracker!$H:$H,A16)</f>
        <v/>
      </c>
      <c r="C16" s="10">
        <f>COUNTIFS(Tracker!$H:$H,A16,Tracker!$L:$L,"To Do")</f>
        <v/>
      </c>
      <c r="D16" s="10">
        <f>COUNTIFS(Tracker!$H:$H,A16,Tracker!$L:$L,"In Progress")</f>
        <v/>
      </c>
      <c r="E16" s="10">
        <f>COUNTIFS(Tracker!$H:$H,A16,Tracker!$L:$L,"In Review / Testing")</f>
        <v/>
      </c>
      <c r="F16" s="10">
        <f>COUNTIFS(Tracker!$H:$H,A16,Tracker!$L:$L,"Done")</f>
        <v/>
      </c>
      <c r="G16" s="10">
        <f>COUNTIFS(Tracker!$H:$H,A16,Tracker!$L:$L,"Blocked")</f>
        <v/>
      </c>
      <c r="H16" s="10">
        <f>SUMIFS(Tracker!$J:$J,Tracker!$H:$H,A16,Tracker!$L:$L,"&lt;&gt;Done")</f>
        <v/>
      </c>
    </row>
    <row r="17">
      <c r="A17" s="23" t="inlineStr">
        <is>
          <t>Rafli</t>
        </is>
      </c>
      <c r="B17" s="9">
        <f>COUNTIF(Tracker!$H:$H,A17)</f>
        <v/>
      </c>
      <c r="C17" s="10">
        <f>COUNTIFS(Tracker!$H:$H,A17,Tracker!$L:$L,"To Do")</f>
        <v/>
      </c>
      <c r="D17" s="10">
        <f>COUNTIFS(Tracker!$H:$H,A17,Tracker!$L:$L,"In Progress")</f>
        <v/>
      </c>
      <c r="E17" s="10">
        <f>COUNTIFS(Tracker!$H:$H,A17,Tracker!$L:$L,"In Review / Testing")</f>
        <v/>
      </c>
      <c r="F17" s="10">
        <f>COUNTIFS(Tracker!$H:$H,A17,Tracker!$L:$L,"Done")</f>
        <v/>
      </c>
      <c r="G17" s="10">
        <f>COUNTIFS(Tracker!$H:$H,A17,Tracker!$L:$L,"Blocked")</f>
        <v/>
      </c>
      <c r="H17" s="10">
        <f>SUMIFS(Tracker!$J:$J,Tracker!$H:$H,A17,Tracker!$L:$L,"&lt;&gt;Done")</f>
        <v/>
      </c>
    </row>
    <row r="18">
      <c r="A18" s="23" t="inlineStr">
        <is>
          <t>Ikhwan</t>
        </is>
      </c>
      <c r="B18" s="9">
        <f>COUNTIF(Tracker!$H:$H,A18)</f>
        <v/>
      </c>
      <c r="C18" s="10">
        <f>COUNTIFS(Tracker!$H:$H,A18,Tracker!$L:$L,"To Do")</f>
        <v/>
      </c>
      <c r="D18" s="10">
        <f>COUNTIFS(Tracker!$H:$H,A18,Tracker!$L:$L,"In Progress")</f>
        <v/>
      </c>
      <c r="E18" s="10">
        <f>COUNTIFS(Tracker!$H:$H,A18,Tracker!$L:$L,"In Review / Testing")</f>
        <v/>
      </c>
      <c r="F18" s="10">
        <f>COUNTIFS(Tracker!$H:$H,A18,Tracker!$L:$L,"Done")</f>
        <v/>
      </c>
      <c r="G18" s="10">
        <f>COUNTIFS(Tracker!$H:$H,A18,Tracker!$L:$L,"Blocked")</f>
        <v/>
      </c>
      <c r="H18" s="10">
        <f>SUMIFS(Tracker!$J:$J,Tracker!$H:$H,A18,Tracker!$L:$L,"&lt;&gt;Done")</f>
        <v/>
      </c>
    </row>
    <row r="19">
      <c r="A19" s="23" t="inlineStr">
        <is>
          <t>Fathir</t>
        </is>
      </c>
      <c r="B19" s="9">
        <f>COUNTIF(Tracker!$H:$H,A19)</f>
        <v/>
      </c>
      <c r="C19" s="10">
        <f>COUNTIFS(Tracker!$H:$H,A19,Tracker!$L:$L,"To Do")</f>
        <v/>
      </c>
      <c r="D19" s="10">
        <f>COUNTIFS(Tracker!$H:$H,A19,Tracker!$L:$L,"In Progress")</f>
        <v/>
      </c>
      <c r="E19" s="10">
        <f>COUNTIFS(Tracker!$H:$H,A19,Tracker!$L:$L,"In Review / Testing")</f>
        <v/>
      </c>
      <c r="F19" s="10">
        <f>COUNTIFS(Tracker!$H:$H,A19,Tracker!$L:$L,"Done")</f>
        <v/>
      </c>
      <c r="G19" s="10">
        <f>COUNTIFS(Tracker!$H:$H,A19,Tracker!$L:$L,"Blocked")</f>
        <v/>
      </c>
      <c r="H19" s="10">
        <f>SUMIFS(Tracker!$J:$J,Tracker!$H:$H,A19,Tracker!$L:$L,"&lt;&gt;Done")</f>
        <v/>
      </c>
    </row>
    <row r="20">
      <c r="A20" s="23" t="inlineStr">
        <is>
          <t>Hamdan</t>
        </is>
      </c>
      <c r="B20" s="9">
        <f>COUNTIF(Tracker!$H:$H,A20)</f>
        <v/>
      </c>
      <c r="C20" s="10">
        <f>COUNTIFS(Tracker!$H:$H,A20,Tracker!$L:$L,"To Do")</f>
        <v/>
      </c>
      <c r="D20" s="10">
        <f>COUNTIFS(Tracker!$H:$H,A20,Tracker!$L:$L,"In Progress")</f>
        <v/>
      </c>
      <c r="E20" s="10">
        <f>COUNTIFS(Tracker!$H:$H,A20,Tracker!$L:$L,"In Review / Testing")</f>
        <v/>
      </c>
      <c r="F20" s="10">
        <f>COUNTIFS(Tracker!$H:$H,A20,Tracker!$L:$L,"Done")</f>
        <v/>
      </c>
      <c r="G20" s="10">
        <f>COUNTIFS(Tracker!$H:$H,A20,Tracker!$L:$L,"Blocked")</f>
        <v/>
      </c>
      <c r="H20" s="10">
        <f>SUMIFS(Tracker!$J:$J,Tracker!$H:$H,A20,Tracker!$L:$L,"&lt;&gt;Done")</f>
        <v/>
      </c>
    </row>
    <row r="23">
      <c r="A23" s="22" t="inlineStr">
        <is>
          <t>MENUNGGU MITRA</t>
        </is>
      </c>
    </row>
    <row r="24" ht="24" customHeight="1">
      <c r="A24" s="5" t="inlineStr">
        <is>
          <t>Jumlah</t>
        </is>
      </c>
      <c r="B24" s="5" t="inlineStr">
        <is>
          <t>Keterangan</t>
        </is>
      </c>
    </row>
    <row r="25">
      <c r="A25" s="24">
        <f>COUNTIF(Tracker!$F:$F,"Blocker Mitra")</f>
        <v/>
      </c>
      <c r="B25" s="25" t="inlineStr">
        <is>
          <t>Item bertipe "Blocker Mitra" di Tracker — tagih pada rapat mingguan</t>
        </is>
      </c>
      <c r="C25" s="26" t="n"/>
      <c r="D25" s="26" t="n"/>
      <c r="E25" s="26" t="n"/>
      <c r="F25" s="26" t="n"/>
      <c r="G25" s="26" t="n"/>
      <c r="H25" s="27" t="n"/>
    </row>
    <row r="28">
      <c r="A28" s="22" t="inlineStr">
        <is>
          <t>LEGENDA STATUS</t>
        </is>
      </c>
    </row>
    <row r="29">
      <c r="A29" s="28" t="inlineStr">
        <is>
          <t>To Do</t>
        </is>
      </c>
      <c r="B29" s="25" t="inlineStr">
        <is>
          <t>Belum dimulai</t>
        </is>
      </c>
      <c r="C29" s="26" t="n"/>
      <c r="D29" s="26" t="n"/>
      <c r="E29" s="26" t="n"/>
      <c r="F29" s="27" t="n"/>
    </row>
    <row r="30">
      <c r="A30" s="29" t="inlineStr">
        <is>
          <t>In Progress</t>
        </is>
      </c>
      <c r="B30" s="25" t="inlineStr">
        <is>
          <t>Sedang dikerjakan</t>
        </is>
      </c>
      <c r="C30" s="26" t="n"/>
      <c r="D30" s="26" t="n"/>
      <c r="E30" s="26" t="n"/>
      <c r="F30" s="27" t="n"/>
    </row>
    <row r="31">
      <c r="A31" s="30" t="inlineStr">
        <is>
          <t>In Review / Testing</t>
        </is>
      </c>
      <c r="B31" s="25" t="inlineStr">
        <is>
          <t>Menunggu review atau pengujian</t>
        </is>
      </c>
      <c r="C31" s="26" t="n"/>
      <c r="D31" s="26" t="n"/>
      <c r="E31" s="26" t="n"/>
      <c r="F31" s="27" t="n"/>
    </row>
    <row r="32">
      <c r="A32" s="31" t="inlineStr">
        <is>
          <t>Done</t>
        </is>
      </c>
      <c r="B32" s="25" t="inlineStr">
        <is>
          <t>Selesai &amp; memenuhi Definition of Done</t>
        </is>
      </c>
      <c r="C32" s="26" t="n"/>
      <c r="D32" s="26" t="n"/>
      <c r="E32" s="26" t="n"/>
      <c r="F32" s="27" t="n"/>
    </row>
    <row r="33">
      <c r="A33" s="32" t="inlineStr">
        <is>
          <t>Blocked</t>
        </is>
      </c>
      <c r="B33" s="25" t="inlineStr">
        <is>
          <t>Terhenti menunggu pihak lain — lihat kolom Blocker / Remarks</t>
        </is>
      </c>
      <c r="C33" s="26" t="n"/>
      <c r="D33" s="26" t="n"/>
      <c r="E33" s="26" t="n"/>
      <c r="F33" s="27" t="n"/>
    </row>
  </sheetData>
  <mergeCells count="6">
    <mergeCell ref="B30:F30"/>
    <mergeCell ref="B29:F29"/>
    <mergeCell ref="B33:F33"/>
    <mergeCell ref="B31:F31"/>
    <mergeCell ref="B25:H25"/>
    <mergeCell ref="B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1" customWidth="1" min="4" max="4"/>
    <col width="46" customWidth="1" min="5" max="5"/>
    <col width="12" customWidth="1" min="6" max="6"/>
    <col width="10" customWidth="1" min="7" max="7"/>
    <col width="12" customWidth="1" min="8" max="8"/>
    <col width="8" customWidth="1" min="9" max="9"/>
    <col width="5" customWidth="1" min="10" max="10"/>
    <col width="10" customWidth="1" min="11" max="11"/>
    <col width="18" customWidth="1" min="12" max="12"/>
    <col width="13" customWidth="1" min="13" max="13"/>
    <col width="9" customWidth="1" min="14" max="14"/>
    <col width="44" customWidth="1" min="15" max="15"/>
  </cols>
  <sheetData>
    <row r="1" ht="26" customHeight="1">
      <c r="A1" s="1" t="inlineStr">
        <is>
          <t>HERO — PAPAN PROYEK</t>
        </is>
      </c>
    </row>
    <row r="2">
      <c r="A2" s="2" t="inlineStr">
        <is>
          <t>Satu baris per task. Kolom Milestone dan Tenggat terisi otomatis dari Fase dan Sprint. Kolom lain bebas diubah lewat dropdown.</t>
        </is>
      </c>
    </row>
    <row r="4" ht="34" customHeight="1">
      <c r="A4" s="5" t="inlineStr">
        <is>
          <t>No</t>
        </is>
      </c>
      <c r="B4" s="5" t="inlineStr">
        <is>
          <t>Fase</t>
        </is>
      </c>
      <c r="C4" s="5" t="inlineStr">
        <is>
          <t>Milestone</t>
        </is>
      </c>
      <c r="D4" s="5" t="inlineStr">
        <is>
          <t>ID</t>
        </is>
      </c>
      <c r="E4" s="5" t="inlineStr">
        <is>
          <t>Task</t>
        </is>
      </c>
      <c r="F4" s="5" t="inlineStr">
        <is>
          <t>Tipe</t>
        </is>
      </c>
      <c r="G4" s="5" t="inlineStr">
        <is>
          <t>Peran</t>
        </is>
      </c>
      <c r="H4" s="5" t="inlineStr">
        <is>
          <t>PIC</t>
        </is>
      </c>
      <c r="I4" s="5" t="inlineStr">
        <is>
          <t>Sprint</t>
        </is>
      </c>
      <c r="J4" s="5" t="inlineStr">
        <is>
          <t>SP</t>
        </is>
      </c>
      <c r="K4" s="5" t="inlineStr">
        <is>
          <t>Prioritas</t>
        </is>
      </c>
      <c r="L4" s="5" t="inlineStr">
        <is>
          <t>Status</t>
        </is>
      </c>
      <c r="M4" s="5" t="inlineStr">
        <is>
          <t>Tenggat</t>
        </is>
      </c>
      <c r="N4" s="5" t="inlineStr">
        <is>
          <t>GitHub #</t>
        </is>
      </c>
      <c r="O4" s="5" t="inlineStr">
        <is>
          <t>Blocker / Remarks</t>
        </is>
      </c>
    </row>
    <row r="5" ht="22" customHeight="1">
      <c r="A5" s="8" t="n">
        <v>1</v>
      </c>
      <c r="B5" s="9" t="inlineStr">
        <is>
          <t>Fase 0</t>
        </is>
      </c>
      <c r="C5" s="25">
        <f>IFERROR(VLOOKUP(B5,Referensi!$A$5:$B$10,2,FALSE),"")</f>
        <v/>
      </c>
      <c r="D5" s="9" t="inlineStr">
        <is>
          <t>US-11</t>
        </is>
      </c>
      <c r="E5" s="7" t="inlineStr">
        <is>
          <t>Lingkungan staging &amp; CI siap</t>
        </is>
      </c>
      <c r="F5" s="10" t="inlineStr">
        <is>
          <t>Chore</t>
        </is>
      </c>
      <c r="G5" s="10" t="inlineStr">
        <is>
          <t>Infra/QA</t>
        </is>
      </c>
      <c r="H5" s="10" t="inlineStr">
        <is>
          <t>Hamdan</t>
        </is>
      </c>
      <c r="I5" s="10" t="inlineStr">
        <is>
          <t>S0</t>
        </is>
      </c>
      <c r="J5" s="33" t="n">
        <v>4</v>
      </c>
      <c r="K5" s="10" t="inlineStr">
        <is>
          <t>Must</t>
        </is>
      </c>
      <c r="L5" s="9" t="inlineStr">
        <is>
          <t>In Progress</t>
        </is>
      </c>
      <c r="M5" s="34">
        <f>IFERROR(VLOOKUP(I5,Referensi!$F$5:$G$13,2,FALSE),"")</f>
        <v/>
      </c>
      <c r="N5" s="8" t="n"/>
      <c r="O5" s="35" t="inlineStr">
        <is>
          <t>Belum ada bukti CI berjalan; masuk carry-over</t>
        </is>
      </c>
    </row>
    <row r="6" ht="22" customHeight="1">
      <c r="A6" s="8" t="n">
        <v>2</v>
      </c>
      <c r="B6" s="9" t="inlineStr">
        <is>
          <t>Fase 0</t>
        </is>
      </c>
      <c r="C6" s="25">
        <f>IFERROR(VLOOKUP(B6,Referensi!$A$5:$B$10,2,FALSE),"")</f>
        <v/>
      </c>
      <c r="D6" s="9" t="inlineStr">
        <is>
          <t>AI-T10</t>
        </is>
      </c>
      <c r="E6" s="7" t="inlineStr">
        <is>
          <t>Format laporan rapat mingguan</t>
        </is>
      </c>
      <c r="F6" s="10" t="inlineStr">
        <is>
          <t>Chore</t>
        </is>
      </c>
      <c r="G6" s="10" t="inlineStr">
        <is>
          <t>PM/BA</t>
        </is>
      </c>
      <c r="H6" s="10" t="inlineStr">
        <is>
          <t>Zaky</t>
        </is>
      </c>
      <c r="I6" s="10" t="inlineStr">
        <is>
          <t>S0</t>
        </is>
      </c>
      <c r="J6" s="33" t="n">
        <v>2</v>
      </c>
      <c r="K6" s="10" t="inlineStr">
        <is>
          <t>Must</t>
        </is>
      </c>
      <c r="L6" s="9" t="inlineStr">
        <is>
          <t>In Progress</t>
        </is>
      </c>
      <c r="M6" s="34">
        <f>IFERROR(VLOOKUP(I6,Referensi!$F$5:$G$13,2,FALSE),"")</f>
        <v/>
      </c>
      <c r="N6" s="8" t="n">
        <v>23</v>
      </c>
      <c r="O6" s="35" t="inlineStr">
        <is>
          <t>Carry-over dari Fase 0</t>
        </is>
      </c>
    </row>
    <row r="7" ht="22" customHeight="1">
      <c r="A7" s="8" t="n">
        <v>3</v>
      </c>
      <c r="B7" s="9" t="inlineStr">
        <is>
          <t>Fase 0</t>
        </is>
      </c>
      <c r="C7" s="25">
        <f>IFERROR(VLOOKUP(B7,Referensi!$A$5:$B$10,2,FALSE),"")</f>
        <v/>
      </c>
      <c r="D7" s="9" t="inlineStr">
        <is>
          <t>OI-04</t>
        </is>
      </c>
      <c r="E7" s="7" t="inlineStr">
        <is>
          <t>Penandatanganan NDA seluruh anggota</t>
        </is>
      </c>
      <c r="F7" s="10" t="inlineStr">
        <is>
          <t>Blocker Mitra</t>
        </is>
      </c>
      <c r="G7" s="10" t="inlineStr">
        <is>
          <t>PM/BA</t>
        </is>
      </c>
      <c r="H7" s="10" t="inlineStr">
        <is>
          <t>Zaky</t>
        </is>
      </c>
      <c r="I7" s="10" t="inlineStr">
        <is>
          <t>S0</t>
        </is>
      </c>
      <c r="J7" s="33" t="n"/>
      <c r="K7" s="10" t="inlineStr">
        <is>
          <t>Must</t>
        </is>
      </c>
      <c r="L7" s="9" t="inlineStr">
        <is>
          <t>Blocked</t>
        </is>
      </c>
      <c r="M7" s="34">
        <f>IFERROR(VLOOKUP(I7,Referensi!$F$5:$G$13,2,FALSE),"")</f>
        <v/>
      </c>
      <c r="N7" s="8" t="n">
        <v>25</v>
      </c>
      <c r="O7" s="35" t="inlineStr">
        <is>
          <t>Memblokir akses OneDrive</t>
        </is>
      </c>
    </row>
    <row r="8" ht="22" customHeight="1">
      <c r="A8" s="8" t="n">
        <v>4</v>
      </c>
      <c r="B8" s="9" t="inlineStr">
        <is>
          <t>Fase 0</t>
        </is>
      </c>
      <c r="C8" s="25">
        <f>IFERROR(VLOOKUP(B8,Referensi!$A$5:$B$10,2,FALSE),"")</f>
        <v/>
      </c>
      <c r="D8" s="9" t="inlineStr">
        <is>
          <t>F0-3</t>
        </is>
      </c>
      <c r="E8" s="7" t="inlineStr">
        <is>
          <t>Struktur folder knowledge base awal (skeleton)</t>
        </is>
      </c>
      <c r="F8" s="10" t="inlineStr">
        <is>
          <t>Chore</t>
        </is>
      </c>
      <c r="G8" s="10" t="inlineStr">
        <is>
          <t>Backend</t>
        </is>
      </c>
      <c r="H8" s="10" t="inlineStr">
        <is>
          <t>Rafli</t>
        </is>
      </c>
      <c r="I8" s="10" t="inlineStr">
        <is>
          <t>S1</t>
        </is>
      </c>
      <c r="J8" s="33" t="n">
        <v>3</v>
      </c>
      <c r="K8" s="10" t="inlineStr">
        <is>
          <t>Must</t>
        </is>
      </c>
      <c r="L8" s="9" t="inlineStr">
        <is>
          <t>To Do</t>
        </is>
      </c>
      <c r="M8" s="34">
        <f>IFERROR(VLOOKUP(I8,Referensi!$F$5:$G$13,2,FALSE),"")</f>
        <v/>
      </c>
      <c r="N8" s="8" t="n">
        <v>38</v>
      </c>
      <c r="O8" s="35" t="inlineStr">
        <is>
          <t>Indikator Fase 0 yang terlewat, dibawa ke Fase 1</t>
        </is>
      </c>
    </row>
    <row r="9" ht="22" customHeight="1">
      <c r="A9" s="8" t="n">
        <v>5</v>
      </c>
      <c r="B9" s="9" t="inlineStr">
        <is>
          <t>Fase 0</t>
        </is>
      </c>
      <c r="C9" s="25">
        <f>IFERROR(VLOOKUP(B9,Referensi!$A$5:$B$10,2,FALSE),"")</f>
        <v/>
      </c>
      <c r="D9" s="9" t="inlineStr">
        <is>
          <t>F0-DOC</t>
        </is>
      </c>
      <c r="E9" s="7" t="inlineStr">
        <is>
          <t>Dokumen requirement &amp; arsitektur disetujui stakeholder</t>
        </is>
      </c>
      <c r="F9" s="10" t="inlineStr">
        <is>
          <t>Chore</t>
        </is>
      </c>
      <c r="G9" s="10" t="inlineStr">
        <is>
          <t>PM/BA</t>
        </is>
      </c>
      <c r="H9" s="10" t="inlineStr">
        <is>
          <t>Zaky</t>
        </is>
      </c>
      <c r="I9" s="10" t="inlineStr">
        <is>
          <t>S0</t>
        </is>
      </c>
      <c r="J9" s="33" t="n"/>
      <c r="K9" s="10" t="inlineStr">
        <is>
          <t>Must</t>
        </is>
      </c>
      <c r="L9" s="9" t="inlineStr">
        <is>
          <t>In Review / Testing</t>
        </is>
      </c>
      <c r="M9" s="34">
        <f>IFERROR(VLOOKUP(I9,Referensi!$F$5:$G$13,2,FALSE),"")</f>
        <v/>
      </c>
      <c r="N9" s="8" t="n"/>
      <c r="O9" s="35" t="inlineStr">
        <is>
          <t>17 dokumen tersusun; persetujuan mitra belum tercatat</t>
        </is>
      </c>
    </row>
    <row r="10" ht="22" customHeight="1">
      <c r="A10" s="8" t="n">
        <v>6</v>
      </c>
      <c r="B10" s="9" t="inlineStr">
        <is>
          <t>Fase 1</t>
        </is>
      </c>
      <c r="C10" s="25">
        <f>IFERROR(VLOOKUP(B10,Referensi!$A$5:$B$10,2,FALSE),"")</f>
        <v/>
      </c>
      <c r="D10" s="9" t="inlineStr">
        <is>
          <t>US-02</t>
        </is>
      </c>
      <c r="E10" s="7" t="inlineStr">
        <is>
          <t>Login pengguna</t>
        </is>
      </c>
      <c r="F10" s="10" t="inlineStr">
        <is>
          <t>User Story</t>
        </is>
      </c>
      <c r="G10" s="10" t="inlineStr">
        <is>
          <t>Backend</t>
        </is>
      </c>
      <c r="H10" s="10" t="inlineStr">
        <is>
          <t>Rafli</t>
        </is>
      </c>
      <c r="I10" s="10" t="inlineStr">
        <is>
          <t>S1</t>
        </is>
      </c>
      <c r="J10" s="33" t="n">
        <v>3</v>
      </c>
      <c r="K10" s="10" t="inlineStr">
        <is>
          <t>Must</t>
        </is>
      </c>
      <c r="L10" s="9" t="inlineStr">
        <is>
          <t>To Do</t>
        </is>
      </c>
      <c r="M10" s="34">
        <f>IFERROR(VLOOKUP(I10,Referensi!$F$5:$G$13,2,FALSE),"")</f>
        <v/>
      </c>
      <c r="N10" s="8" t="n">
        <v>1</v>
      </c>
      <c r="O10" s="35" t="inlineStr"/>
    </row>
    <row r="11" ht="22" customHeight="1">
      <c r="A11" s="8" t="n">
        <v>7</v>
      </c>
      <c r="B11" s="9" t="inlineStr">
        <is>
          <t>Fase 1</t>
        </is>
      </c>
      <c r="C11" s="25">
        <f>IFERROR(VLOOKUP(B11,Referensi!$A$5:$B$10,2,FALSE),"")</f>
        <v/>
      </c>
      <c r="D11" s="9" t="inlineStr">
        <is>
          <t>US-12</t>
        </is>
      </c>
      <c r="E11" s="7" t="inlineStr">
        <is>
          <t>Kelola daftar situs sumber</t>
        </is>
      </c>
      <c r="F11" s="10" t="inlineStr">
        <is>
          <t>User Story</t>
        </is>
      </c>
      <c r="G11" s="10" t="inlineStr">
        <is>
          <t>Backend</t>
        </is>
      </c>
      <c r="H11" s="10" t="inlineStr">
        <is>
          <t>Rafli</t>
        </is>
      </c>
      <c r="I11" s="10" t="inlineStr">
        <is>
          <t>S1</t>
        </is>
      </c>
      <c r="J11" s="33" t="n">
        <v>5</v>
      </c>
      <c r="K11" s="10" t="inlineStr">
        <is>
          <t>Must</t>
        </is>
      </c>
      <c r="L11" s="9" t="inlineStr">
        <is>
          <t>To Do</t>
        </is>
      </c>
      <c r="M11" s="34">
        <f>IFERROR(VLOOKUP(I11,Referensi!$F$5:$G$13,2,FALSE),"")</f>
        <v/>
      </c>
      <c r="N11" s="8" t="n">
        <v>2</v>
      </c>
      <c r="O11" s="35" t="inlineStr"/>
    </row>
    <row r="12" ht="22" customHeight="1">
      <c r="A12" s="8" t="n">
        <v>8</v>
      </c>
      <c r="B12" s="9" t="inlineStr">
        <is>
          <t>Fase 1</t>
        </is>
      </c>
      <c r="C12" s="25">
        <f>IFERROR(VLOOKUP(B12,Referensi!$A$5:$B$10,2,FALSE),"")</f>
        <v/>
      </c>
      <c r="D12" s="9" t="inlineStr">
        <is>
          <t>US-13</t>
        </is>
      </c>
      <c r="E12" s="7" t="inlineStr">
        <is>
          <t>Mesin scraping &amp; pengunduhan PDF</t>
        </is>
      </c>
      <c r="F12" s="10" t="inlineStr">
        <is>
          <t>User Story</t>
        </is>
      </c>
      <c r="G12" s="10" t="inlineStr">
        <is>
          <t>Data/ML</t>
        </is>
      </c>
      <c r="H12" s="10" t="inlineStr">
        <is>
          <t>Fathir</t>
        </is>
      </c>
      <c r="I12" s="10" t="inlineStr">
        <is>
          <t>S1</t>
        </is>
      </c>
      <c r="J12" s="33" t="n">
        <v>8</v>
      </c>
      <c r="K12" s="10" t="inlineStr">
        <is>
          <t>Must</t>
        </is>
      </c>
      <c r="L12" s="9" t="inlineStr">
        <is>
          <t>In Progress</t>
        </is>
      </c>
      <c r="M12" s="34">
        <f>IFERROR(VLOOKUP(I12,Referensi!$F$5:$G$13,2,FALSE),"")</f>
        <v/>
      </c>
      <c r="N12" s="8" t="n">
        <v>3</v>
      </c>
      <c r="O12" s="35" t="inlineStr">
        <is>
          <t>Baseline scraper sudah ada. Fathir belum masuk org GitHub</t>
        </is>
      </c>
    </row>
    <row r="13" ht="22" customHeight="1">
      <c r="A13" s="8" t="n">
        <v>9</v>
      </c>
      <c r="B13" s="9" t="inlineStr">
        <is>
          <t>Fase 1</t>
        </is>
      </c>
      <c r="C13" s="25">
        <f>IFERROR(VLOOKUP(B13,Referensi!$A$5:$B$10,2,FALSE),"")</f>
        <v/>
      </c>
      <c r="D13" s="9" t="inlineStr">
        <is>
          <t>US-13a</t>
        </is>
      </c>
      <c r="E13" s="7" t="inlineStr">
        <is>
          <t>Kontrol kedalaman crawling per sumber</t>
        </is>
      </c>
      <c r="F13" s="10" t="inlineStr">
        <is>
          <t>User Story</t>
        </is>
      </c>
      <c r="G13" s="10" t="inlineStr">
        <is>
          <t>Data/ML</t>
        </is>
      </c>
      <c r="H13" s="10" t="inlineStr">
        <is>
          <t>Fathir</t>
        </is>
      </c>
      <c r="I13" s="10" t="inlineStr">
        <is>
          <t>S1</t>
        </is>
      </c>
      <c r="J13" s="33" t="n">
        <v>5</v>
      </c>
      <c r="K13" s="10" t="inlineStr">
        <is>
          <t>Must</t>
        </is>
      </c>
      <c r="L13" s="9" t="inlineStr">
        <is>
          <t>In Progress</t>
        </is>
      </c>
      <c r="M13" s="34">
        <f>IFERROR(VLOOKUP(I13,Referensi!$F$5:$G$13,2,FALSE),"")</f>
        <v/>
      </c>
      <c r="N13" s="8" t="n">
        <v>4</v>
      </c>
      <c r="O13" s="35" t="inlineStr">
        <is>
          <t>Sedang ke kedalaman &gt; 1; kedalaman 1 harus stabil dulu</t>
        </is>
      </c>
    </row>
    <row r="14" ht="22" customHeight="1">
      <c r="A14" s="8" t="n">
        <v>10</v>
      </c>
      <c r="B14" s="9" t="inlineStr">
        <is>
          <t>Fase 1</t>
        </is>
      </c>
      <c r="C14" s="25">
        <f>IFERROR(VLOOKUP(B14,Referensi!$A$5:$B$10,2,FALSE),"")</f>
        <v/>
      </c>
      <c r="D14" s="9" t="inlineStr">
        <is>
          <t>US-14</t>
        </is>
      </c>
      <c r="E14" s="7" t="inlineStr">
        <is>
          <t>Ringkasan hasil job scraping</t>
        </is>
      </c>
      <c r="F14" s="10" t="inlineStr">
        <is>
          <t>User Story</t>
        </is>
      </c>
      <c r="G14" s="10" t="inlineStr">
        <is>
          <t>Backend</t>
        </is>
      </c>
      <c r="H14" s="10" t="inlineStr">
        <is>
          <t>Rafli</t>
        </is>
      </c>
      <c r="I14" s="10" t="inlineStr">
        <is>
          <t>S1</t>
        </is>
      </c>
      <c r="J14" s="33" t="n">
        <v>3</v>
      </c>
      <c r="K14" s="10" t="inlineStr">
        <is>
          <t>Must</t>
        </is>
      </c>
      <c r="L14" s="9" t="inlineStr">
        <is>
          <t>To Do</t>
        </is>
      </c>
      <c r="M14" s="34">
        <f>IFERROR(VLOOKUP(I14,Referensi!$F$5:$G$13,2,FALSE),"")</f>
        <v/>
      </c>
      <c r="N14" s="8" t="n">
        <v>5</v>
      </c>
      <c r="O14" s="35" t="inlineStr"/>
    </row>
    <row r="15" ht="22" customHeight="1">
      <c r="A15" s="8" t="n">
        <v>11</v>
      </c>
      <c r="B15" s="9" t="inlineStr">
        <is>
          <t>Fase 1</t>
        </is>
      </c>
      <c r="C15" s="25">
        <f>IFERROR(VLOOKUP(B15,Referensi!$A$5:$B$10,2,FALSE),"")</f>
        <v/>
      </c>
      <c r="D15" s="9" t="inlineStr">
        <is>
          <t>US-15</t>
        </is>
      </c>
      <c r="E15" s="7" t="inlineStr">
        <is>
          <t>Unggah dokumen manual</t>
        </is>
      </c>
      <c r="F15" s="10" t="inlineStr">
        <is>
          <t>User Story</t>
        </is>
      </c>
      <c r="G15" s="10" t="inlineStr">
        <is>
          <t>Backend</t>
        </is>
      </c>
      <c r="H15" s="10" t="inlineStr">
        <is>
          <t>Rafli</t>
        </is>
      </c>
      <c r="I15" s="10" t="inlineStr">
        <is>
          <t>S1</t>
        </is>
      </c>
      <c r="J15" s="33" t="n">
        <v>5</v>
      </c>
      <c r="K15" s="10" t="inlineStr">
        <is>
          <t>Must</t>
        </is>
      </c>
      <c r="L15" s="9" t="inlineStr">
        <is>
          <t>To Do</t>
        </is>
      </c>
      <c r="M15" s="34">
        <f>IFERROR(VLOOKUP(I15,Referensi!$F$5:$G$13,2,FALSE),"")</f>
        <v/>
      </c>
      <c r="N15" s="8" t="n">
        <v>6</v>
      </c>
      <c r="O15" s="35" t="inlineStr"/>
    </row>
    <row r="16" ht="22" customHeight="1">
      <c r="A16" s="8" t="n">
        <v>12</v>
      </c>
      <c r="B16" s="9" t="inlineStr">
        <is>
          <t>Fase 1</t>
        </is>
      </c>
      <c r="C16" s="25">
        <f>IFERROR(VLOOKUP(B16,Referensi!$A$5:$B$10,2,FALSE),"")</f>
        <v/>
      </c>
      <c r="D16" s="9" t="inlineStr">
        <is>
          <t>US-15a</t>
        </is>
      </c>
      <c r="E16" s="7" t="inlineStr">
        <is>
          <t>Pilih tipe dokumen: draft kajian / eksisting</t>
        </is>
      </c>
      <c r="F16" s="10" t="inlineStr">
        <is>
          <t>User Story</t>
        </is>
      </c>
      <c r="G16" s="10" t="inlineStr">
        <is>
          <t>Backend</t>
        </is>
      </c>
      <c r="H16" s="10" t="inlineStr">
        <is>
          <t>Rafli</t>
        </is>
      </c>
      <c r="I16" s="10" t="inlineStr">
        <is>
          <t>S1</t>
        </is>
      </c>
      <c r="J16" s="33" t="n">
        <v>3</v>
      </c>
      <c r="K16" s="10" t="inlineStr">
        <is>
          <t>Must</t>
        </is>
      </c>
      <c r="L16" s="9" t="inlineStr">
        <is>
          <t>To Do</t>
        </is>
      </c>
      <c r="M16" s="34">
        <f>IFERROR(VLOOKUP(I16,Referensi!$F$5:$G$13,2,FALSE),"")</f>
        <v/>
      </c>
      <c r="N16" s="8" t="n">
        <v>7</v>
      </c>
      <c r="O16" s="35" t="inlineStr">
        <is>
          <t>Frontend pendukung untuk elemen pilihan</t>
        </is>
      </c>
    </row>
    <row r="17" ht="22" customHeight="1">
      <c r="A17" s="8" t="n">
        <v>13</v>
      </c>
      <c r="B17" s="9" t="inlineStr">
        <is>
          <t>Fase 1</t>
        </is>
      </c>
      <c r="C17" s="25">
        <f>IFERROR(VLOOKUP(B17,Referensi!$A$5:$B$10,2,FALSE),"")</f>
        <v/>
      </c>
      <c r="D17" s="9" t="inlineStr">
        <is>
          <t>US-18</t>
        </is>
      </c>
      <c r="E17" s="7" t="inlineStr">
        <is>
          <t>Tolak berkas non-PDF</t>
        </is>
      </c>
      <c r="F17" s="10" t="inlineStr">
        <is>
          <t>User Story</t>
        </is>
      </c>
      <c r="G17" s="10" t="inlineStr">
        <is>
          <t>Backend</t>
        </is>
      </c>
      <c r="H17" s="10" t="inlineStr">
        <is>
          <t>Rafli</t>
        </is>
      </c>
      <c r="I17" s="10" t="inlineStr">
        <is>
          <t>S1</t>
        </is>
      </c>
      <c r="J17" s="33" t="n">
        <v>3</v>
      </c>
      <c r="K17" s="10" t="inlineStr">
        <is>
          <t>Must</t>
        </is>
      </c>
      <c r="L17" s="9" t="inlineStr">
        <is>
          <t>To Do</t>
        </is>
      </c>
      <c r="M17" s="34">
        <f>IFERROR(VLOOKUP(I17,Referensi!$F$5:$G$13,2,FALSE),"")</f>
        <v/>
      </c>
      <c r="N17" s="8" t="n">
        <v>8</v>
      </c>
      <c r="O17" s="35" t="inlineStr"/>
    </row>
    <row r="18" ht="22" customHeight="1">
      <c r="A18" s="8" t="n">
        <v>14</v>
      </c>
      <c r="B18" s="9" t="inlineStr">
        <is>
          <t>Fase 1</t>
        </is>
      </c>
      <c r="C18" s="25">
        <f>IFERROR(VLOOKUP(B18,Referensi!$A$5:$B$10,2,FALSE),"")</f>
        <v/>
      </c>
      <c r="D18" s="9" t="inlineStr">
        <is>
          <t>US-19</t>
        </is>
      </c>
      <c r="E18" s="7" t="inlineStr">
        <is>
          <t>Deteksi duplikat (hash + ukuran berkas)</t>
        </is>
      </c>
      <c r="F18" s="10" t="inlineStr">
        <is>
          <t>User Story</t>
        </is>
      </c>
      <c r="G18" s="10" t="inlineStr">
        <is>
          <t>Backend</t>
        </is>
      </c>
      <c r="H18" s="10" t="inlineStr">
        <is>
          <t>Rafli</t>
        </is>
      </c>
      <c r="I18" s="10" t="inlineStr">
        <is>
          <t>S1</t>
        </is>
      </c>
      <c r="J18" s="33" t="n">
        <v>5</v>
      </c>
      <c r="K18" s="10" t="inlineStr">
        <is>
          <t>Must</t>
        </is>
      </c>
      <c r="L18" s="9" t="inlineStr">
        <is>
          <t>To Do</t>
        </is>
      </c>
      <c r="M18" s="34">
        <f>IFERROR(VLOOKUP(I18,Referensi!$F$5:$G$13,2,FALSE),"")</f>
        <v/>
      </c>
      <c r="N18" s="8" t="n">
        <v>9</v>
      </c>
      <c r="O18" s="35" t="inlineStr"/>
    </row>
    <row r="19" ht="22" customHeight="1">
      <c r="A19" s="8" t="n">
        <v>15</v>
      </c>
      <c r="B19" s="9" t="inlineStr">
        <is>
          <t>Fase 1</t>
        </is>
      </c>
      <c r="C19" s="25">
        <f>IFERROR(VLOOKUP(B19,Referensi!$A$5:$B$10,2,FALSE),"")</f>
        <v/>
      </c>
      <c r="D19" s="9" t="inlineStr">
        <is>
          <t>US-26</t>
        </is>
      </c>
      <c r="E19" s="7" t="inlineStr">
        <is>
          <t>Simpan dokumen + metadata + teks</t>
        </is>
      </c>
      <c r="F19" s="10" t="inlineStr">
        <is>
          <t>User Story</t>
        </is>
      </c>
      <c r="G19" s="10" t="inlineStr">
        <is>
          <t>Backend</t>
        </is>
      </c>
      <c r="H19" s="10" t="inlineStr">
        <is>
          <t>Rafli</t>
        </is>
      </c>
      <c r="I19" s="10" t="inlineStr">
        <is>
          <t>S1</t>
        </is>
      </c>
      <c r="J19" s="33" t="n">
        <v>5</v>
      </c>
      <c r="K19" s="10" t="inlineStr">
        <is>
          <t>Must</t>
        </is>
      </c>
      <c r="L19" s="9" t="inlineStr">
        <is>
          <t>To Do</t>
        </is>
      </c>
      <c r="M19" s="34">
        <f>IFERROR(VLOOKUP(I19,Referensi!$F$5:$G$13,2,FALSE),"")</f>
        <v/>
      </c>
      <c r="N19" s="8" t="n">
        <v>10</v>
      </c>
      <c r="O19" s="35" t="inlineStr"/>
    </row>
    <row r="20" ht="22" customHeight="1">
      <c r="A20" s="8" t="n">
        <v>16</v>
      </c>
      <c r="B20" s="9" t="inlineStr">
        <is>
          <t>Fase 1</t>
        </is>
      </c>
      <c r="C20" s="25">
        <f>IFERROR(VLOOKUP(B20,Referensi!$A$5:$B$10,2,FALSE),"")</f>
        <v/>
      </c>
      <c r="D20" s="9" t="inlineStr">
        <is>
          <t>AI-T3</t>
        </is>
      </c>
      <c r="E20" s="7" t="inlineStr">
        <is>
          <t>Mockup Figma Fase 1</t>
        </is>
      </c>
      <c r="F20" s="10" t="inlineStr">
        <is>
          <t>Chore</t>
        </is>
      </c>
      <c r="G20" s="10" t="inlineStr">
        <is>
          <t>Frontend</t>
        </is>
      </c>
      <c r="H20" s="10" t="inlineStr">
        <is>
          <t>Ikhwan</t>
        </is>
      </c>
      <c r="I20" s="10" t="inlineStr">
        <is>
          <t>S1</t>
        </is>
      </c>
      <c r="J20" s="33" t="n">
        <v>5</v>
      </c>
      <c r="K20" s="10" t="inlineStr">
        <is>
          <t>Must</t>
        </is>
      </c>
      <c r="L20" s="9" t="inlineStr">
        <is>
          <t>In Progress</t>
        </is>
      </c>
      <c r="M20" s="34">
        <f>IFERROR(VLOOKUP(I20,Referensi!$F$5:$G$13,2,FALSE),"")</f>
        <v/>
      </c>
      <c r="N20" s="8" t="n">
        <v>21</v>
      </c>
      <c r="O20" s="35" t="inlineStr">
        <is>
          <t>3 layar sudah: Dashboard, KB, Ingest. S-04 Antrian Kegagalan belum</t>
        </is>
      </c>
    </row>
    <row r="21" ht="22" customHeight="1">
      <c r="A21" s="8" t="n">
        <v>17</v>
      </c>
      <c r="B21" s="9" t="inlineStr">
        <is>
          <t>Fase 1</t>
        </is>
      </c>
      <c r="C21" s="25">
        <f>IFERROR(VLOOKUP(B21,Referensi!$A$5:$B$10,2,FALSE),"")</f>
        <v/>
      </c>
      <c r="D21" s="9" t="inlineStr">
        <is>
          <t>AI-T7</t>
        </is>
      </c>
      <c r="E21" s="7" t="inlineStr">
        <is>
          <t>Hosting untuk uji coba mitra 8 Okt</t>
        </is>
      </c>
      <c r="F21" s="10" t="inlineStr">
        <is>
          <t>Chore</t>
        </is>
      </c>
      <c r="G21" s="10" t="inlineStr">
        <is>
          <t>Infra/QA</t>
        </is>
      </c>
      <c r="H21" s="10" t="inlineStr">
        <is>
          <t>Hamdan</t>
        </is>
      </c>
      <c r="I21" s="10" t="inlineStr">
        <is>
          <t>S1</t>
        </is>
      </c>
      <c r="J21" s="33" t="n">
        <v>8</v>
      </c>
      <c r="K21" s="10" t="inlineStr">
        <is>
          <t>Must</t>
        </is>
      </c>
      <c r="L21" s="9" t="inlineStr">
        <is>
          <t>To Do</t>
        </is>
      </c>
      <c r="M21" s="34">
        <f>IFERROR(VLOOKUP(I21,Referensi!$F$5:$G$13,2,FALSE),"")</f>
        <v/>
      </c>
      <c r="N21" s="8" t="n">
        <v>22</v>
      </c>
      <c r="O21" s="35" t="inlineStr">
        <is>
          <t>Menunggu keputusan ADR-11 di rapat mingguan</t>
        </is>
      </c>
    </row>
    <row r="22" ht="22" customHeight="1">
      <c r="A22" s="8" t="n">
        <v>18</v>
      </c>
      <c r="B22" s="9" t="inlineStr">
        <is>
          <t>Fase 1</t>
        </is>
      </c>
      <c r="C22" s="25">
        <f>IFERROR(VLOOKUP(B22,Referensi!$A$5:$B$10,2,FALSE),"")</f>
        <v/>
      </c>
      <c r="D22" s="9" t="inlineStr">
        <is>
          <t>AI-M1</t>
        </is>
      </c>
      <c r="E22" s="7" t="inlineStr">
        <is>
          <t>Alamat situs sumber ketiga</t>
        </is>
      </c>
      <c r="F22" s="10" t="inlineStr">
        <is>
          <t>Blocker Mitra</t>
        </is>
      </c>
      <c r="G22" s="10" t="inlineStr">
        <is>
          <t>Mitra</t>
        </is>
      </c>
      <c r="H22" s="10" t="inlineStr">
        <is>
          <t>Faris (DPEA)</t>
        </is>
      </c>
      <c r="I22" s="10" t="inlineStr">
        <is>
          <t>S1</t>
        </is>
      </c>
      <c r="J22" s="33" t="n"/>
      <c r="K22" s="10" t="inlineStr">
        <is>
          <t>Must</t>
        </is>
      </c>
      <c r="L22" s="9" t="inlineStr">
        <is>
          <t>Blocked</t>
        </is>
      </c>
      <c r="M22" s="34">
        <f>IFERROR(VLOOKUP(I22,Referensi!$F$5:$G$13,2,FALSE),"")</f>
        <v/>
      </c>
      <c r="N22" s="8" t="n">
        <v>24</v>
      </c>
      <c r="O22" s="35" t="inlineStr">
        <is>
          <t>Memblokir indikator ≥ 3 situs</t>
        </is>
      </c>
    </row>
    <row r="23" ht="22" customHeight="1">
      <c r="A23" s="8" t="n">
        <v>19</v>
      </c>
      <c r="B23" s="9" t="inlineStr">
        <is>
          <t>Fase 1</t>
        </is>
      </c>
      <c r="C23" s="25">
        <f>IFERROR(VLOOKUP(B23,Referensi!$A$5:$B$10,2,FALSE),"")</f>
        <v/>
      </c>
      <c r="D23" s="9" t="inlineStr">
        <is>
          <t>US-20</t>
        </is>
      </c>
      <c r="E23" s="7" t="inlineStr">
        <is>
          <t>Ekstraksi metadata dasar</t>
        </is>
      </c>
      <c r="F23" s="10" t="inlineStr">
        <is>
          <t>User Story</t>
        </is>
      </c>
      <c r="G23" s="10" t="inlineStr">
        <is>
          <t>Data/ML</t>
        </is>
      </c>
      <c r="H23" s="10" t="inlineStr">
        <is>
          <t>Fathir</t>
        </is>
      </c>
      <c r="I23" s="10" t="inlineStr">
        <is>
          <t>S2</t>
        </is>
      </c>
      <c r="J23" s="33" t="n">
        <v>8</v>
      </c>
      <c r="K23" s="10" t="inlineStr">
        <is>
          <t>Must</t>
        </is>
      </c>
      <c r="L23" s="9" t="inlineStr">
        <is>
          <t>To Do</t>
        </is>
      </c>
      <c r="M23" s="34">
        <f>IFERROR(VLOOKUP(I23,Referensi!$F$5:$G$13,2,FALSE),"")</f>
        <v/>
      </c>
      <c r="N23" s="8" t="n">
        <v>11</v>
      </c>
      <c r="O23" s="35" t="inlineStr"/>
    </row>
    <row r="24" ht="22" customHeight="1">
      <c r="A24" s="8" t="n">
        <v>20</v>
      </c>
      <c r="B24" s="9" t="inlineStr">
        <is>
          <t>Fase 1</t>
        </is>
      </c>
      <c r="C24" s="25">
        <f>IFERROR(VLOOKUP(B24,Referensi!$A$5:$B$10,2,FALSE),"")</f>
        <v/>
      </c>
      <c r="D24" s="9" t="inlineStr">
        <is>
          <t>US-20a</t>
        </is>
      </c>
      <c r="E24" s="7" t="inlineStr">
        <is>
          <t>OCR halaman 1 &amp; penamaan berkas baku</t>
        </is>
      </c>
      <c r="F24" s="10" t="inlineStr">
        <is>
          <t>User Story</t>
        </is>
      </c>
      <c r="G24" s="10" t="inlineStr">
        <is>
          <t>Data/ML</t>
        </is>
      </c>
      <c r="H24" s="10" t="inlineStr">
        <is>
          <t>Fathir</t>
        </is>
      </c>
      <c r="I24" s="10" t="inlineStr">
        <is>
          <t>S2</t>
        </is>
      </c>
      <c r="J24" s="33" t="n">
        <v>5</v>
      </c>
      <c r="K24" s="10" t="inlineStr">
        <is>
          <t>Must</t>
        </is>
      </c>
      <c r="L24" s="9" t="inlineStr">
        <is>
          <t>To Do</t>
        </is>
      </c>
      <c r="M24" s="34">
        <f>IFERROR(VLOOKUP(I24,Referensi!$F$5:$G$13,2,FALSE),"")</f>
        <v/>
      </c>
      <c r="N24" s="8" t="n">
        <v>12</v>
      </c>
      <c r="O24" s="35" t="inlineStr"/>
    </row>
    <row r="25" ht="22" customHeight="1">
      <c r="A25" s="8" t="n">
        <v>21</v>
      </c>
      <c r="B25" s="9" t="inlineStr">
        <is>
          <t>Fase 1</t>
        </is>
      </c>
      <c r="C25" s="25">
        <f>IFERROR(VLOOKUP(B25,Referensi!$A$5:$B$10,2,FALSE),"")</f>
        <v/>
      </c>
      <c r="D25" s="9" t="inlineStr">
        <is>
          <t>US-21</t>
        </is>
      </c>
      <c r="E25" s="7" t="inlineStr">
        <is>
          <t>Koreksi metadata manual</t>
        </is>
      </c>
      <c r="F25" s="10" t="inlineStr">
        <is>
          <t>User Story</t>
        </is>
      </c>
      <c r="G25" s="10" t="inlineStr">
        <is>
          <t>Frontend</t>
        </is>
      </c>
      <c r="H25" s="10" t="inlineStr">
        <is>
          <t>Ikhwan</t>
        </is>
      </c>
      <c r="I25" s="10" t="inlineStr">
        <is>
          <t>S2</t>
        </is>
      </c>
      <c r="J25" s="33" t="n">
        <v>3</v>
      </c>
      <c r="K25" s="10" t="inlineStr">
        <is>
          <t>Must</t>
        </is>
      </c>
      <c r="L25" s="9" t="inlineStr">
        <is>
          <t>To Do</t>
        </is>
      </c>
      <c r="M25" s="34">
        <f>IFERROR(VLOOKUP(I25,Referensi!$F$5:$G$13,2,FALSE),"")</f>
        <v/>
      </c>
      <c r="N25" s="8" t="n">
        <v>13</v>
      </c>
      <c r="O25" s="35" t="inlineStr"/>
    </row>
    <row r="26" ht="22" customHeight="1">
      <c r="A26" s="8" t="n">
        <v>22</v>
      </c>
      <c r="B26" s="9" t="inlineStr">
        <is>
          <t>Fase 1</t>
        </is>
      </c>
      <c r="C26" s="25">
        <f>IFERROR(VLOOKUP(B26,Referensi!$A$5:$B$10,2,FALSE),"")</f>
        <v/>
      </c>
      <c r="D26" s="9" t="inlineStr">
        <is>
          <t>US-23</t>
        </is>
      </c>
      <c r="E26" s="7" t="inlineStr">
        <is>
          <t>Antrian dokumen gagal &amp; proses ulang</t>
        </is>
      </c>
      <c r="F26" s="10" t="inlineStr">
        <is>
          <t>User Story</t>
        </is>
      </c>
      <c r="G26" s="10" t="inlineStr">
        <is>
          <t>Backend</t>
        </is>
      </c>
      <c r="H26" s="10" t="inlineStr">
        <is>
          <t>Rafli</t>
        </is>
      </c>
      <c r="I26" s="10" t="inlineStr">
        <is>
          <t>S2</t>
        </is>
      </c>
      <c r="J26" s="33" t="n">
        <v>3</v>
      </c>
      <c r="K26" s="10" t="inlineStr">
        <is>
          <t>Must</t>
        </is>
      </c>
      <c r="L26" s="9" t="inlineStr">
        <is>
          <t>To Do</t>
        </is>
      </c>
      <c r="M26" s="34">
        <f>IFERROR(VLOOKUP(I26,Referensi!$F$5:$G$13,2,FALSE),"")</f>
        <v/>
      </c>
      <c r="N26" s="8" t="n">
        <v>14</v>
      </c>
      <c r="O26" s="35" t="inlineStr"/>
    </row>
    <row r="27" ht="22" customHeight="1">
      <c r="A27" s="8" t="n">
        <v>23</v>
      </c>
      <c r="B27" s="9" t="inlineStr">
        <is>
          <t>Fase 1</t>
        </is>
      </c>
      <c r="C27" s="25">
        <f>IFERROR(VLOOKUP(B27,Referensi!$A$5:$B$10,2,FALSE),"")</f>
        <v/>
      </c>
      <c r="D27" s="9" t="inlineStr">
        <is>
          <t>US-16</t>
        </is>
      </c>
      <c r="E27" s="7" t="inlineStr">
        <is>
          <t>Baca dokumen dari folder lokal</t>
        </is>
      </c>
      <c r="F27" s="10" t="inlineStr">
        <is>
          <t>User Story</t>
        </is>
      </c>
      <c r="G27" s="10" t="inlineStr">
        <is>
          <t>Backend</t>
        </is>
      </c>
      <c r="H27" s="10" t="inlineStr">
        <is>
          <t>Rafli</t>
        </is>
      </c>
      <c r="I27" s="10" t="inlineStr">
        <is>
          <t>S2</t>
        </is>
      </c>
      <c r="J27" s="33" t="n">
        <v>5</v>
      </c>
      <c r="K27" s="10" t="inlineStr">
        <is>
          <t>Must</t>
        </is>
      </c>
      <c r="L27" s="9" t="inlineStr">
        <is>
          <t>To Do</t>
        </is>
      </c>
      <c r="M27" s="34">
        <f>IFERROR(VLOOKUP(I27,Referensi!$F$5:$G$13,2,FALSE),"")</f>
        <v/>
      </c>
      <c r="N27" s="8" t="n">
        <v>15</v>
      </c>
      <c r="O27" s="35" t="inlineStr"/>
    </row>
    <row r="28" ht="22" customHeight="1">
      <c r="A28" s="8" t="n">
        <v>24</v>
      </c>
      <c r="B28" s="9" t="inlineStr">
        <is>
          <t>Fase 1</t>
        </is>
      </c>
      <c r="C28" s="25">
        <f>IFERROR(VLOOKUP(B28,Referensi!$A$5:$B$10,2,FALSE),"")</f>
        <v/>
      </c>
      <c r="D28" s="9" t="inlineStr">
        <is>
          <t>US-24</t>
        </is>
      </c>
      <c r="E28" s="7" t="inlineStr">
        <is>
          <t>Klasifikasi kategori peraturan</t>
        </is>
      </c>
      <c r="F28" s="10" t="inlineStr">
        <is>
          <t>User Story</t>
        </is>
      </c>
      <c r="G28" s="10" t="inlineStr">
        <is>
          <t>Data/ML</t>
        </is>
      </c>
      <c r="H28" s="10" t="inlineStr">
        <is>
          <t>Fathir</t>
        </is>
      </c>
      <c r="I28" s="10" t="inlineStr">
        <is>
          <t>S2</t>
        </is>
      </c>
      <c r="J28" s="33" t="n">
        <v>5</v>
      </c>
      <c r="K28" s="10" t="inlineStr">
        <is>
          <t>Must</t>
        </is>
      </c>
      <c r="L28" s="9" t="inlineStr">
        <is>
          <t>To Do</t>
        </is>
      </c>
      <c r="M28" s="34">
        <f>IFERROR(VLOOKUP(I28,Referensi!$F$5:$G$13,2,FALSE),"")</f>
        <v/>
      </c>
      <c r="N28" s="8" t="n">
        <v>16</v>
      </c>
      <c r="O28" s="35" t="inlineStr"/>
    </row>
    <row r="29" ht="22" customHeight="1">
      <c r="A29" s="8" t="n">
        <v>25</v>
      </c>
      <c r="B29" s="9" t="inlineStr">
        <is>
          <t>Fase 1</t>
        </is>
      </c>
      <c r="C29" s="25">
        <f>IFERROR(VLOOKUP(B29,Referensi!$A$5:$B$10,2,FALSE),"")</f>
        <v/>
      </c>
      <c r="D29" s="9" t="inlineStr">
        <is>
          <t>US-25</t>
        </is>
      </c>
      <c r="E29" s="7" t="inlineStr">
        <is>
          <t>Penempatan folder eksisting / baru</t>
        </is>
      </c>
      <c r="F29" s="10" t="inlineStr">
        <is>
          <t>User Story</t>
        </is>
      </c>
      <c r="G29" s="10" t="inlineStr">
        <is>
          <t>Backend</t>
        </is>
      </c>
      <c r="H29" s="10" t="inlineStr">
        <is>
          <t>Rafli</t>
        </is>
      </c>
      <c r="I29" s="10" t="inlineStr">
        <is>
          <t>S2</t>
        </is>
      </c>
      <c r="J29" s="33" t="n">
        <v>5</v>
      </c>
      <c r="K29" s="10" t="inlineStr">
        <is>
          <t>Must</t>
        </is>
      </c>
      <c r="L29" s="9" t="inlineStr">
        <is>
          <t>To Do</t>
        </is>
      </c>
      <c r="M29" s="34">
        <f>IFERROR(VLOOKUP(I29,Referensi!$F$5:$G$13,2,FALSE),"")</f>
        <v/>
      </c>
      <c r="N29" s="8" t="n">
        <v>17</v>
      </c>
      <c r="O29" s="35" t="inlineStr"/>
    </row>
    <row r="30" ht="22" customHeight="1">
      <c r="A30" s="8" t="n">
        <v>26</v>
      </c>
      <c r="B30" s="9" t="inlineStr">
        <is>
          <t>Fase 1</t>
        </is>
      </c>
      <c r="C30" s="25">
        <f>IFERROR(VLOOKUP(B30,Referensi!$A$5:$B$10,2,FALSE),"")</f>
        <v/>
      </c>
      <c r="D30" s="9" t="inlineStr">
        <is>
          <t>US-27</t>
        </is>
      </c>
      <c r="E30" s="7" t="inlineStr">
        <is>
          <t>Pencarian dokumen</t>
        </is>
      </c>
      <c r="F30" s="10" t="inlineStr">
        <is>
          <t>User Story</t>
        </is>
      </c>
      <c r="G30" s="10" t="inlineStr">
        <is>
          <t>Backend</t>
        </is>
      </c>
      <c r="H30" s="10" t="inlineStr">
        <is>
          <t>Rafli</t>
        </is>
      </c>
      <c r="I30" s="10" t="inlineStr">
        <is>
          <t>S2</t>
        </is>
      </c>
      <c r="J30" s="33" t="n">
        <v>5</v>
      </c>
      <c r="K30" s="10" t="inlineStr">
        <is>
          <t>Must</t>
        </is>
      </c>
      <c r="L30" s="9" t="inlineStr">
        <is>
          <t>To Do</t>
        </is>
      </c>
      <c r="M30" s="34">
        <f>IFERROR(VLOOKUP(I30,Referensi!$F$5:$G$13,2,FALSE),"")</f>
        <v/>
      </c>
      <c r="N30" s="8" t="n">
        <v>18</v>
      </c>
      <c r="O30" s="35" t="inlineStr"/>
    </row>
    <row r="31" ht="22" customHeight="1">
      <c r="A31" s="8" t="n">
        <v>27</v>
      </c>
      <c r="B31" s="9" t="inlineStr">
        <is>
          <t>Fase 1</t>
        </is>
      </c>
      <c r="C31" s="25">
        <f>IFERROR(VLOOKUP(B31,Referensi!$A$5:$B$10,2,FALSE),"")</f>
        <v/>
      </c>
      <c r="D31" s="9" t="inlineStr">
        <is>
          <t>US-28</t>
        </is>
      </c>
      <c r="E31" s="7" t="inlineStr">
        <is>
          <t>Detail dokumen (teks mentah)</t>
        </is>
      </c>
      <c r="F31" s="10" t="inlineStr">
        <is>
          <t>User Story</t>
        </is>
      </c>
      <c r="G31" s="10" t="inlineStr">
        <is>
          <t>Frontend</t>
        </is>
      </c>
      <c r="H31" s="10" t="inlineStr">
        <is>
          <t>Ikhwan</t>
        </is>
      </c>
      <c r="I31" s="10" t="inlineStr">
        <is>
          <t>S2</t>
        </is>
      </c>
      <c r="J31" s="33" t="n">
        <v>3</v>
      </c>
      <c r="K31" s="10" t="inlineStr">
        <is>
          <t>Must</t>
        </is>
      </c>
      <c r="L31" s="9" t="inlineStr">
        <is>
          <t>To Do</t>
        </is>
      </c>
      <c r="M31" s="34">
        <f>IFERROR(VLOOKUP(I31,Referensi!$F$5:$G$13,2,FALSE),"")</f>
        <v/>
      </c>
      <c r="N31" s="8" t="n">
        <v>19</v>
      </c>
      <c r="O31" s="35" t="inlineStr">
        <is>
          <t>Tombol Buka PDF Asli wajib ada</t>
        </is>
      </c>
    </row>
    <row r="32" ht="22" customHeight="1">
      <c r="A32" s="8" t="n">
        <v>28</v>
      </c>
      <c r="B32" s="9" t="inlineStr">
        <is>
          <t>Fase 1</t>
        </is>
      </c>
      <c r="C32" s="25">
        <f>IFERROR(VLOOKUP(B32,Referensi!$A$5:$B$10,2,FALSE),"")</f>
        <v/>
      </c>
      <c r="D32" s="9" t="inlineStr">
        <is>
          <t>US-32a</t>
        </is>
      </c>
      <c r="E32" s="7" t="inlineStr">
        <is>
          <t>Spike: purwarupa parser pasal atas 20 dokumen</t>
        </is>
      </c>
      <c r="F32" s="10" t="inlineStr">
        <is>
          <t>Spike</t>
        </is>
      </c>
      <c r="G32" s="10" t="inlineStr">
        <is>
          <t>Data/ML</t>
        </is>
      </c>
      <c r="H32" s="10" t="inlineStr">
        <is>
          <t>Fathir</t>
        </is>
      </c>
      <c r="I32" s="10" t="inlineStr">
        <is>
          <t>S2</t>
        </is>
      </c>
      <c r="J32" s="33" t="n">
        <v>5</v>
      </c>
      <c r="K32" s="10" t="inlineStr">
        <is>
          <t>Must</t>
        </is>
      </c>
      <c r="L32" s="9" t="inlineStr">
        <is>
          <t>To Do</t>
        </is>
      </c>
      <c r="M32" s="34">
        <f>IFERROR(VLOOKUP(I32,Referensi!$F$5:$G$13,2,FALSE),"")</f>
        <v/>
      </c>
      <c r="N32" s="8" t="n">
        <v>20</v>
      </c>
      <c r="O32" s="35" t="inlineStr">
        <is>
          <t>Butuh 20 dokumen uji dari PM/BA</t>
        </is>
      </c>
    </row>
    <row r="33" ht="22" customHeight="1">
      <c r="A33" s="8" t="n">
        <v>29</v>
      </c>
      <c r="B33" s="9" t="inlineStr">
        <is>
          <t>Fase 2</t>
        </is>
      </c>
      <c r="C33" s="25">
        <f>IFERROR(VLOOKUP(B33,Referensi!$A$5:$B$10,2,FALSE),"")</f>
        <v/>
      </c>
      <c r="D33" s="9" t="inlineStr">
        <is>
          <t>US-04</t>
        </is>
      </c>
      <c r="E33" s="7" t="inlineStr">
        <is>
          <t>Toggle mode AI-Assisted</t>
        </is>
      </c>
      <c r="F33" s="10" t="inlineStr">
        <is>
          <t>User Story</t>
        </is>
      </c>
      <c r="G33" s="10" t="inlineStr">
        <is>
          <t>Backend</t>
        </is>
      </c>
      <c r="H33" s="10" t="inlineStr">
        <is>
          <t>Rafli</t>
        </is>
      </c>
      <c r="I33" s="10" t="inlineStr">
        <is>
          <t>S3</t>
        </is>
      </c>
      <c r="J33" s="33" t="n">
        <v>5</v>
      </c>
      <c r="K33" s="10" t="inlineStr">
        <is>
          <t>Must</t>
        </is>
      </c>
      <c r="L33" s="9" t="inlineStr">
        <is>
          <t>To Do</t>
        </is>
      </c>
      <c r="M33" s="34">
        <f>IFERROR(VLOOKUP(I33,Referensi!$F$5:$G$13,2,FALSE),"")</f>
        <v/>
      </c>
      <c r="N33" s="8" t="n"/>
      <c r="O33" s="35" t="inlineStr"/>
    </row>
    <row r="34" ht="22" customHeight="1">
      <c r="A34" s="8" t="n">
        <v>30</v>
      </c>
      <c r="B34" s="9" t="inlineStr">
        <is>
          <t>Fase 2</t>
        </is>
      </c>
      <c r="C34" s="25">
        <f>IFERROR(VLOOKUP(B34,Referensi!$A$5:$B$10,2,FALSE),"")</f>
        <v/>
      </c>
      <c r="D34" s="9" t="inlineStr">
        <is>
          <t>US-05</t>
        </is>
      </c>
      <c r="E34" s="7" t="inlineStr">
        <is>
          <t>Hasil deterministik &amp; AI tersimpan terpisah</t>
        </is>
      </c>
      <c r="F34" s="10" t="inlineStr">
        <is>
          <t>User Story</t>
        </is>
      </c>
      <c r="G34" s="10" t="inlineStr">
        <is>
          <t>Backend</t>
        </is>
      </c>
      <c r="H34" s="10" t="inlineStr">
        <is>
          <t>Rafli</t>
        </is>
      </c>
      <c r="I34" s="10" t="inlineStr">
        <is>
          <t>S3</t>
        </is>
      </c>
      <c r="J34" s="33" t="n">
        <v>5</v>
      </c>
      <c r="K34" s="10" t="inlineStr">
        <is>
          <t>Must</t>
        </is>
      </c>
      <c r="L34" s="9" t="inlineStr">
        <is>
          <t>To Do</t>
        </is>
      </c>
      <c r="M34" s="34">
        <f>IFERROR(VLOOKUP(I34,Referensi!$F$5:$G$13,2,FALSE),"")</f>
        <v/>
      </c>
      <c r="N34" s="8" t="n"/>
      <c r="O34" s="35" t="inlineStr"/>
    </row>
    <row r="35" ht="22" customHeight="1">
      <c r="A35" s="8" t="n">
        <v>31</v>
      </c>
      <c r="B35" s="9" t="inlineStr">
        <is>
          <t>Fase 2</t>
        </is>
      </c>
      <c r="C35" s="25">
        <f>IFERROR(VLOOKUP(B35,Referensi!$A$5:$B$10,2,FALSE),"")</f>
        <v/>
      </c>
      <c r="D35" s="9" t="inlineStr">
        <is>
          <t>US-07</t>
        </is>
      </c>
      <c r="E35" s="7" t="inlineStr">
        <is>
          <t>Label Draft / Rekomendasi pada output</t>
        </is>
      </c>
      <c r="F35" s="10" t="inlineStr">
        <is>
          <t>User Story</t>
        </is>
      </c>
      <c r="G35" s="10" t="inlineStr">
        <is>
          <t>Frontend</t>
        </is>
      </c>
      <c r="H35" s="10" t="inlineStr">
        <is>
          <t>Ikhwan</t>
        </is>
      </c>
      <c r="I35" s="10" t="inlineStr">
        <is>
          <t>S3</t>
        </is>
      </c>
      <c r="J35" s="33" t="n">
        <v>2</v>
      </c>
      <c r="K35" s="10" t="inlineStr">
        <is>
          <t>Must</t>
        </is>
      </c>
      <c r="L35" s="9" t="inlineStr">
        <is>
          <t>To Do</t>
        </is>
      </c>
      <c r="M35" s="34">
        <f>IFERROR(VLOOKUP(I35,Referensi!$F$5:$G$13,2,FALSE),"")</f>
        <v/>
      </c>
      <c r="N35" s="8" t="n"/>
      <c r="O35" s="35" t="inlineStr"/>
    </row>
    <row r="36" ht="22" customHeight="1">
      <c r="A36" s="8" t="n">
        <v>32</v>
      </c>
      <c r="B36" s="9" t="inlineStr">
        <is>
          <t>Fase 2</t>
        </is>
      </c>
      <c r="C36" s="25">
        <f>IFERROR(VLOOKUP(B36,Referensi!$A$5:$B$10,2,FALSE),"")</f>
        <v/>
      </c>
      <c r="D36" s="9" t="inlineStr">
        <is>
          <t>US-32</t>
        </is>
      </c>
      <c r="E36" s="7" t="inlineStr">
        <is>
          <t>Parser struktur bab / pasal / ayat</t>
        </is>
      </c>
      <c r="F36" s="10" t="inlineStr">
        <is>
          <t>User Story</t>
        </is>
      </c>
      <c r="G36" s="10" t="inlineStr">
        <is>
          <t>Data/ML</t>
        </is>
      </c>
      <c r="H36" s="10" t="inlineStr">
        <is>
          <t>Fathir</t>
        </is>
      </c>
      <c r="I36" s="10" t="inlineStr">
        <is>
          <t>S3</t>
        </is>
      </c>
      <c r="J36" s="33" t="n">
        <v>13</v>
      </c>
      <c r="K36" s="10" t="inlineStr">
        <is>
          <t>Must</t>
        </is>
      </c>
      <c r="L36" s="9" t="inlineStr">
        <is>
          <t>To Do</t>
        </is>
      </c>
      <c r="M36" s="34">
        <f>IFERROR(VLOOKUP(I36,Referensi!$F$5:$G$13,2,FALSE),"")</f>
        <v/>
      </c>
      <c r="N36" s="8" t="n"/>
      <c r="O36" s="35" t="inlineStr">
        <is>
          <t>Jalur kritis — menopang 3 fitur</t>
        </is>
      </c>
    </row>
    <row r="37" ht="22" customHeight="1">
      <c r="A37" s="8" t="n">
        <v>33</v>
      </c>
      <c r="B37" s="9" t="inlineStr">
        <is>
          <t>Fase 2</t>
        </is>
      </c>
      <c r="C37" s="25">
        <f>IFERROR(VLOOKUP(B37,Referensi!$A$5:$B$10,2,FALSE),"")</f>
        <v/>
      </c>
      <c r="D37" s="9" t="inlineStr">
        <is>
          <t>US-33</t>
        </is>
      </c>
      <c r="E37" s="7" t="inlineStr">
        <is>
          <t>Identifikasi dasar hukum</t>
        </is>
      </c>
      <c r="F37" s="10" t="inlineStr">
        <is>
          <t>User Story</t>
        </is>
      </c>
      <c r="G37" s="10" t="inlineStr">
        <is>
          <t>Data/ML</t>
        </is>
      </c>
      <c r="H37" s="10" t="inlineStr">
        <is>
          <t>Fathir</t>
        </is>
      </c>
      <c r="I37" s="10" t="inlineStr">
        <is>
          <t>S3</t>
        </is>
      </c>
      <c r="J37" s="33" t="n">
        <v>5</v>
      </c>
      <c r="K37" s="10" t="inlineStr">
        <is>
          <t>Must</t>
        </is>
      </c>
      <c r="L37" s="9" t="inlineStr">
        <is>
          <t>To Do</t>
        </is>
      </c>
      <c r="M37" s="34">
        <f>IFERROR(VLOOKUP(I37,Referensi!$F$5:$G$13,2,FALSE),"")</f>
        <v/>
      </c>
      <c r="N37" s="8" t="n"/>
      <c r="O37" s="35" t="inlineStr"/>
    </row>
    <row r="38" ht="22" customHeight="1">
      <c r="A38" s="8" t="n">
        <v>34</v>
      </c>
      <c r="B38" s="9" t="inlineStr">
        <is>
          <t>Fase 2</t>
        </is>
      </c>
      <c r="C38" s="25">
        <f>IFERROR(VLOOKUP(B38,Referensi!$A$5:$B$10,2,FALSE),"")</f>
        <v/>
      </c>
      <c r="D38" s="9" t="inlineStr">
        <is>
          <t>US-34</t>
        </is>
      </c>
      <c r="E38" s="7" t="inlineStr">
        <is>
          <t>Identifikasi status keberlakuan</t>
        </is>
      </c>
      <c r="F38" s="10" t="inlineStr">
        <is>
          <t>User Story</t>
        </is>
      </c>
      <c r="G38" s="10" t="inlineStr">
        <is>
          <t>Data/ML</t>
        </is>
      </c>
      <c r="H38" s="10" t="inlineStr">
        <is>
          <t>Fathir</t>
        </is>
      </c>
      <c r="I38" s="10" t="inlineStr">
        <is>
          <t>S3</t>
        </is>
      </c>
      <c r="J38" s="33" t="n">
        <v>5</v>
      </c>
      <c r="K38" s="10" t="inlineStr">
        <is>
          <t>Must</t>
        </is>
      </c>
      <c r="L38" s="9" t="inlineStr">
        <is>
          <t>To Do</t>
        </is>
      </c>
      <c r="M38" s="34">
        <f>IFERROR(VLOOKUP(I38,Referensi!$F$5:$G$13,2,FALSE),"")</f>
        <v/>
      </c>
      <c r="N38" s="8" t="n"/>
      <c r="O38" s="35" t="inlineStr"/>
    </row>
    <row r="39" ht="22" customHeight="1">
      <c r="A39" s="8" t="n">
        <v>35</v>
      </c>
      <c r="B39" s="9" t="inlineStr">
        <is>
          <t>Fase 2</t>
        </is>
      </c>
      <c r="C39" s="25">
        <f>IFERROR(VLOOKUP(B39,Referensi!$A$5:$B$10,2,FALSE),"")</f>
        <v/>
      </c>
      <c r="D39" s="9" t="inlineStr">
        <is>
          <t>US-29,30,31</t>
        </is>
      </c>
      <c r="E39" s="7" t="inlineStr">
        <is>
          <t>Versioning, kelola dokumen, status dicabut</t>
        </is>
      </c>
      <c r="F39" s="10" t="inlineStr">
        <is>
          <t>User Story</t>
        </is>
      </c>
      <c r="G39" s="10" t="inlineStr">
        <is>
          <t>Backend</t>
        </is>
      </c>
      <c r="H39" s="10" t="inlineStr">
        <is>
          <t>Rafli</t>
        </is>
      </c>
      <c r="I39" s="10" t="inlineStr">
        <is>
          <t>S3</t>
        </is>
      </c>
      <c r="J39" s="33" t="n">
        <v>11</v>
      </c>
      <c r="K39" s="10" t="inlineStr">
        <is>
          <t>Should</t>
        </is>
      </c>
      <c r="L39" s="9" t="inlineStr">
        <is>
          <t>To Do</t>
        </is>
      </c>
      <c r="M39" s="34">
        <f>IFERROR(VLOOKUP(I39,Referensi!$F$5:$G$13,2,FALSE),"")</f>
        <v/>
      </c>
      <c r="N39" s="8" t="n">
        <v>37</v>
      </c>
      <c r="O39" s="35" t="inlineStr">
        <is>
          <t>Digeser dari Fase 1</t>
        </is>
      </c>
    </row>
    <row r="40" ht="22" customHeight="1">
      <c r="A40" s="8" t="n">
        <v>36</v>
      </c>
      <c r="B40" s="9" t="inlineStr">
        <is>
          <t>Fase 2</t>
        </is>
      </c>
      <c r="C40" s="25">
        <f>IFERROR(VLOOKUP(B40,Referensi!$A$5:$B$10,2,FALSE),"")</f>
        <v/>
      </c>
      <c r="D40" s="9" t="inlineStr">
        <is>
          <t>US-01</t>
        </is>
      </c>
      <c r="E40" s="7" t="inlineStr">
        <is>
          <t>Manajemen pengguna &amp; peran</t>
        </is>
      </c>
      <c r="F40" s="10" t="inlineStr">
        <is>
          <t>User Story</t>
        </is>
      </c>
      <c r="G40" s="10" t="inlineStr">
        <is>
          <t>Backend</t>
        </is>
      </c>
      <c r="H40" s="10" t="inlineStr">
        <is>
          <t>Rafli</t>
        </is>
      </c>
      <c r="I40" s="10" t="inlineStr">
        <is>
          <t>S3</t>
        </is>
      </c>
      <c r="J40" s="33" t="n">
        <v>5</v>
      </c>
      <c r="K40" s="10" t="inlineStr">
        <is>
          <t>Must</t>
        </is>
      </c>
      <c r="L40" s="9" t="inlineStr">
        <is>
          <t>To Do</t>
        </is>
      </c>
      <c r="M40" s="34">
        <f>IFERROR(VLOOKUP(I40,Referensi!$F$5:$G$13,2,FALSE),"")</f>
        <v/>
      </c>
      <c r="N40" s="8" t="n">
        <v>32</v>
      </c>
      <c r="O40" s="35" t="inlineStr">
        <is>
          <t>Digeser dari Fase 1</t>
        </is>
      </c>
    </row>
    <row r="41" ht="22" customHeight="1">
      <c r="A41" s="8" t="n">
        <v>37</v>
      </c>
      <c r="B41" s="9" t="inlineStr">
        <is>
          <t>Fase 2</t>
        </is>
      </c>
      <c r="C41" s="25">
        <f>IFERROR(VLOOKUP(B41,Referensi!$A$5:$B$10,2,FALSE),"")</f>
        <v/>
      </c>
      <c r="D41" s="9" t="inlineStr">
        <is>
          <t>US-06</t>
        </is>
      </c>
      <c r="E41" s="7" t="inlineStr">
        <is>
          <t>Fallback saat layanan AI mati</t>
        </is>
      </c>
      <c r="F41" s="10" t="inlineStr">
        <is>
          <t>User Story</t>
        </is>
      </c>
      <c r="G41" s="10" t="inlineStr">
        <is>
          <t>Backend</t>
        </is>
      </c>
      <c r="H41" s="10" t="inlineStr">
        <is>
          <t>Rafli</t>
        </is>
      </c>
      <c r="I41" s="10" t="inlineStr">
        <is>
          <t>S4</t>
        </is>
      </c>
      <c r="J41" s="33" t="n">
        <v>5</v>
      </c>
      <c r="K41" s="10" t="inlineStr">
        <is>
          <t>Must</t>
        </is>
      </c>
      <c r="L41" s="9" t="inlineStr">
        <is>
          <t>To Do</t>
        </is>
      </c>
      <c r="M41" s="34">
        <f>IFERROR(VLOOKUP(I41,Referensi!$F$5:$G$13,2,FALSE),"")</f>
        <v/>
      </c>
      <c r="N41" s="8" t="n"/>
      <c r="O41" s="35" t="inlineStr"/>
    </row>
    <row r="42" ht="22" customHeight="1">
      <c r="A42" s="8" t="n">
        <v>38</v>
      </c>
      <c r="B42" s="9" t="inlineStr">
        <is>
          <t>Fase 2</t>
        </is>
      </c>
      <c r="C42" s="25">
        <f>IFERROR(VLOOKUP(B42,Referensi!$A$5:$B$10,2,FALSE),"")</f>
        <v/>
      </c>
      <c r="D42" s="9" t="inlineStr">
        <is>
          <t>US-10</t>
        </is>
      </c>
      <c r="E42" s="7" t="inlineStr">
        <is>
          <t>Riwayat eksekusi (repeatable)</t>
        </is>
      </c>
      <c r="F42" s="10" t="inlineStr">
        <is>
          <t>User Story</t>
        </is>
      </c>
      <c r="G42" s="10" t="inlineStr">
        <is>
          <t>Backend</t>
        </is>
      </c>
      <c r="H42" s="10" t="inlineStr">
        <is>
          <t>Rafli</t>
        </is>
      </c>
      <c r="I42" s="10" t="inlineStr">
        <is>
          <t>S4</t>
        </is>
      </c>
      <c r="J42" s="33" t="n">
        <v>5</v>
      </c>
      <c r="K42" s="10" t="inlineStr">
        <is>
          <t>Must</t>
        </is>
      </c>
      <c r="L42" s="9" t="inlineStr">
        <is>
          <t>To Do</t>
        </is>
      </c>
      <c r="M42" s="34">
        <f>IFERROR(VLOOKUP(I42,Referensi!$F$5:$G$13,2,FALSE),"")</f>
        <v/>
      </c>
      <c r="N42" s="8" t="n"/>
      <c r="O42" s="35" t="inlineStr"/>
    </row>
    <row r="43" ht="22" customHeight="1">
      <c r="A43" s="8" t="n">
        <v>39</v>
      </c>
      <c r="B43" s="9" t="inlineStr">
        <is>
          <t>Fase 2</t>
        </is>
      </c>
      <c r="C43" s="25">
        <f>IFERROR(VLOOKUP(B43,Referensi!$A$5:$B$10,2,FALSE),"")</f>
        <v/>
      </c>
      <c r="D43" s="9" t="inlineStr">
        <is>
          <t>US-35</t>
        </is>
      </c>
      <c r="E43" s="7" t="inlineStr">
        <is>
          <t>Ringkasan (summary) dokumen</t>
        </is>
      </c>
      <c r="F43" s="10" t="inlineStr">
        <is>
          <t>User Story</t>
        </is>
      </c>
      <c r="G43" s="10" t="inlineStr">
        <is>
          <t>Data/ML</t>
        </is>
      </c>
      <c r="H43" s="10" t="inlineStr">
        <is>
          <t>Fathir</t>
        </is>
      </c>
      <c r="I43" s="10" t="inlineStr">
        <is>
          <t>S4</t>
        </is>
      </c>
      <c r="J43" s="33" t="n">
        <v>8</v>
      </c>
      <c r="K43" s="10" t="inlineStr">
        <is>
          <t>Must</t>
        </is>
      </c>
      <c r="L43" s="9" t="inlineStr">
        <is>
          <t>To Do</t>
        </is>
      </c>
      <c r="M43" s="34">
        <f>IFERROR(VLOOKUP(I43,Referensi!$F$5:$G$13,2,FALSE),"")</f>
        <v/>
      </c>
      <c r="N43" s="8" t="n"/>
      <c r="O43" s="35" t="inlineStr"/>
    </row>
    <row r="44" ht="22" customHeight="1">
      <c r="A44" s="8" t="n">
        <v>40</v>
      </c>
      <c r="B44" s="9" t="inlineStr">
        <is>
          <t>Fase 2</t>
        </is>
      </c>
      <c r="C44" s="25">
        <f>IFERROR(VLOOKUP(B44,Referensi!$A$5:$B$10,2,FALSE),"")</f>
        <v/>
      </c>
      <c r="D44" s="9" t="inlineStr">
        <is>
          <t>US-36</t>
        </is>
      </c>
      <c r="E44" s="7" t="inlineStr">
        <is>
          <t>Key Takeaways</t>
        </is>
      </c>
      <c r="F44" s="10" t="inlineStr">
        <is>
          <t>User Story</t>
        </is>
      </c>
      <c r="G44" s="10" t="inlineStr">
        <is>
          <t>Data/ML</t>
        </is>
      </c>
      <c r="H44" s="10" t="inlineStr">
        <is>
          <t>Fathir</t>
        </is>
      </c>
      <c r="I44" s="10" t="inlineStr">
        <is>
          <t>S4</t>
        </is>
      </c>
      <c r="J44" s="33" t="n">
        <v>8</v>
      </c>
      <c r="K44" s="10" t="inlineStr">
        <is>
          <t>Must</t>
        </is>
      </c>
      <c r="L44" s="9" t="inlineStr">
        <is>
          <t>To Do</t>
        </is>
      </c>
      <c r="M44" s="34">
        <f>IFERROR(VLOOKUP(I44,Referensi!$F$5:$G$13,2,FALSE),"")</f>
        <v/>
      </c>
      <c r="N44" s="8" t="n"/>
      <c r="O44" s="35" t="inlineStr"/>
    </row>
    <row r="45" ht="22" customHeight="1">
      <c r="A45" s="8" t="n">
        <v>41</v>
      </c>
      <c r="B45" s="9" t="inlineStr">
        <is>
          <t>Fase 2</t>
        </is>
      </c>
      <c r="C45" s="25">
        <f>IFERROR(VLOOKUP(B45,Referensi!$A$5:$B$10,2,FALSE),"")</f>
        <v/>
      </c>
      <c r="D45" s="9" t="inlineStr">
        <is>
          <t>US-37</t>
        </is>
      </c>
      <c r="E45" s="7" t="inlineStr">
        <is>
          <t>Lompat dari poin ke pasal asli</t>
        </is>
      </c>
      <c r="F45" s="10" t="inlineStr">
        <is>
          <t>User Story</t>
        </is>
      </c>
      <c r="G45" s="10" t="inlineStr">
        <is>
          <t>Frontend</t>
        </is>
      </c>
      <c r="H45" s="10" t="inlineStr">
        <is>
          <t>Ikhwan</t>
        </is>
      </c>
      <c r="I45" s="10" t="inlineStr">
        <is>
          <t>S4</t>
        </is>
      </c>
      <c r="J45" s="33" t="n">
        <v>5</v>
      </c>
      <c r="K45" s="10" t="inlineStr">
        <is>
          <t>Must</t>
        </is>
      </c>
      <c r="L45" s="9" t="inlineStr">
        <is>
          <t>To Do</t>
        </is>
      </c>
      <c r="M45" s="34">
        <f>IFERROR(VLOOKUP(I45,Referensi!$F$5:$G$13,2,FALSE),"")</f>
        <v/>
      </c>
      <c r="N45" s="8" t="n"/>
      <c r="O45" s="35" t="inlineStr"/>
    </row>
    <row r="46" ht="22" customHeight="1">
      <c r="A46" s="8" t="n">
        <v>42</v>
      </c>
      <c r="B46" s="9" t="inlineStr">
        <is>
          <t>Fase 2</t>
        </is>
      </c>
      <c r="C46" s="25">
        <f>IFERROR(VLOOKUP(B46,Referensi!$A$5:$B$10,2,FALSE),"")</f>
        <v/>
      </c>
      <c r="D46" s="9" t="inlineStr">
        <is>
          <t>US-38</t>
        </is>
      </c>
      <c r="E46" s="7" t="inlineStr">
        <is>
          <t>Identifikasi topik utama</t>
        </is>
      </c>
      <c r="F46" s="10" t="inlineStr">
        <is>
          <t>User Story</t>
        </is>
      </c>
      <c r="G46" s="10" t="inlineStr">
        <is>
          <t>Data/ML</t>
        </is>
      </c>
      <c r="H46" s="10" t="inlineStr">
        <is>
          <t>Fathir</t>
        </is>
      </c>
      <c r="I46" s="10" t="inlineStr">
        <is>
          <t>S4</t>
        </is>
      </c>
      <c r="J46" s="33" t="n">
        <v>3</v>
      </c>
      <c r="K46" s="10" t="inlineStr">
        <is>
          <t>Should</t>
        </is>
      </c>
      <c r="L46" s="9" t="inlineStr">
        <is>
          <t>To Do</t>
        </is>
      </c>
      <c r="M46" s="34">
        <f>IFERROR(VLOOKUP(I46,Referensi!$F$5:$G$13,2,FALSE),"")</f>
        <v/>
      </c>
      <c r="N46" s="8" t="n"/>
      <c r="O46" s="35" t="inlineStr"/>
    </row>
    <row r="47" ht="22" customHeight="1">
      <c r="A47" s="8" t="n">
        <v>43</v>
      </c>
      <c r="B47" s="9" t="inlineStr">
        <is>
          <t>Fase 2</t>
        </is>
      </c>
      <c r="C47" s="25">
        <f>IFERROR(VLOOKUP(B47,Referensi!$A$5:$B$10,2,FALSE),"")</f>
        <v/>
      </c>
      <c r="D47" s="9" t="inlineStr">
        <is>
          <t>US-39</t>
        </is>
      </c>
      <c r="E47" s="7" t="inlineStr">
        <is>
          <t>Summary &lt; 5 menit per dokumen</t>
        </is>
      </c>
      <c r="F47" s="10" t="inlineStr">
        <is>
          <t>User Story</t>
        </is>
      </c>
      <c r="G47" s="10" t="inlineStr">
        <is>
          <t>Data/ML</t>
        </is>
      </c>
      <c r="H47" s="10" t="inlineStr">
        <is>
          <t>Fathir</t>
        </is>
      </c>
      <c r="I47" s="10" t="inlineStr">
        <is>
          <t>S4</t>
        </is>
      </c>
      <c r="J47" s="33" t="n">
        <v>3</v>
      </c>
      <c r="K47" s="10" t="inlineStr">
        <is>
          <t>Must</t>
        </is>
      </c>
      <c r="L47" s="9" t="inlineStr">
        <is>
          <t>To Do</t>
        </is>
      </c>
      <c r="M47" s="34">
        <f>IFERROR(VLOOKUP(I47,Referensi!$F$5:$G$13,2,FALSE),"")</f>
        <v/>
      </c>
      <c r="N47" s="8" t="n"/>
      <c r="O47" s="35" t="inlineStr"/>
    </row>
    <row r="48" ht="22" customHeight="1">
      <c r="A48" s="8" t="n">
        <v>44</v>
      </c>
      <c r="B48" s="9" t="inlineStr">
        <is>
          <t>Fase 2</t>
        </is>
      </c>
      <c r="C48" s="25">
        <f>IFERROR(VLOOKUP(B48,Referensi!$A$5:$B$10,2,FALSE),"")</f>
        <v/>
      </c>
      <c r="D48" s="9" t="inlineStr">
        <is>
          <t>US-40</t>
        </is>
      </c>
      <c r="E48" s="7" t="inlineStr">
        <is>
          <t>Ekspor hasil analisa</t>
        </is>
      </c>
      <c r="F48" s="10" t="inlineStr">
        <is>
          <t>User Story</t>
        </is>
      </c>
      <c r="G48" s="10" t="inlineStr">
        <is>
          <t>Backend</t>
        </is>
      </c>
      <c r="H48" s="10" t="inlineStr">
        <is>
          <t>Rafli</t>
        </is>
      </c>
      <c r="I48" s="10" t="inlineStr">
        <is>
          <t>S4</t>
        </is>
      </c>
      <c r="J48" s="33" t="n">
        <v>5</v>
      </c>
      <c r="K48" s="10" t="inlineStr">
        <is>
          <t>Should</t>
        </is>
      </c>
      <c r="L48" s="9" t="inlineStr">
        <is>
          <t>To Do</t>
        </is>
      </c>
      <c r="M48" s="34">
        <f>IFERROR(VLOOKUP(I48,Referensi!$F$5:$G$13,2,FALSE),"")</f>
        <v/>
      </c>
      <c r="N48" s="8" t="n"/>
      <c r="O48" s="35" t="inlineStr"/>
    </row>
    <row r="49" ht="22" customHeight="1">
      <c r="A49" s="8" t="n">
        <v>45</v>
      </c>
      <c r="B49" s="9" t="inlineStr">
        <is>
          <t>Fase 2</t>
        </is>
      </c>
      <c r="C49" s="25">
        <f>IFERROR(VLOOKUP(B49,Referensi!$A$5:$B$10,2,FALSE),"")</f>
        <v/>
      </c>
      <c r="D49" s="9" t="inlineStr">
        <is>
          <t>US-03</t>
        </is>
      </c>
      <c r="E49" s="7" t="inlineStr">
        <is>
          <t>Beranda / dashboard</t>
        </is>
      </c>
      <c r="F49" s="10" t="inlineStr">
        <is>
          <t>User Story</t>
        </is>
      </c>
      <c r="G49" s="10" t="inlineStr">
        <is>
          <t>Frontend</t>
        </is>
      </c>
      <c r="H49" s="10" t="inlineStr">
        <is>
          <t>Ikhwan</t>
        </is>
      </c>
      <c r="I49" s="10" t="inlineStr">
        <is>
          <t>S4</t>
        </is>
      </c>
      <c r="J49" s="33" t="n">
        <v>3</v>
      </c>
      <c r="K49" s="10" t="inlineStr">
        <is>
          <t>Should</t>
        </is>
      </c>
      <c r="L49" s="9" t="inlineStr">
        <is>
          <t>To Do</t>
        </is>
      </c>
      <c r="M49" s="34">
        <f>IFERROR(VLOOKUP(I49,Referensi!$F$5:$G$13,2,FALSE),"")</f>
        <v/>
      </c>
      <c r="N49" s="8" t="n">
        <v>33</v>
      </c>
      <c r="O49" s="35" t="inlineStr">
        <is>
          <t>Digeser dari Fase 1</t>
        </is>
      </c>
    </row>
    <row r="50" ht="22" customHeight="1">
      <c r="A50" s="8" t="n">
        <v>46</v>
      </c>
      <c r="B50" s="9" t="inlineStr">
        <is>
          <t>Fase 2</t>
        </is>
      </c>
      <c r="C50" s="25">
        <f>IFERROR(VLOOKUP(B50,Referensi!$A$5:$B$10,2,FALSE),"")</f>
        <v/>
      </c>
      <c r="D50" s="9" t="inlineStr">
        <is>
          <t>US-08</t>
        </is>
      </c>
      <c r="E50" s="7" t="inlineStr">
        <is>
          <t>Audit log</t>
        </is>
      </c>
      <c r="F50" s="10" t="inlineStr">
        <is>
          <t>User Story</t>
        </is>
      </c>
      <c r="G50" s="10" t="inlineStr">
        <is>
          <t>Backend</t>
        </is>
      </c>
      <c r="H50" s="10" t="inlineStr">
        <is>
          <t>Rafli</t>
        </is>
      </c>
      <c r="I50" s="10" t="inlineStr">
        <is>
          <t>S4</t>
        </is>
      </c>
      <c r="J50" s="33" t="n">
        <v>5</v>
      </c>
      <c r="K50" s="10" t="inlineStr">
        <is>
          <t>Must</t>
        </is>
      </c>
      <c r="L50" s="9" t="inlineStr">
        <is>
          <t>To Do</t>
        </is>
      </c>
      <c r="M50" s="34">
        <f>IFERROR(VLOOKUP(I50,Referensi!$F$5:$G$13,2,FALSE),"")</f>
        <v/>
      </c>
      <c r="N50" s="8" t="n">
        <v>34</v>
      </c>
      <c r="O50" s="35" t="inlineStr">
        <is>
          <t>Digeser dari Fase 1</t>
        </is>
      </c>
    </row>
    <row r="51" ht="22" customHeight="1">
      <c r="A51" s="8" t="n">
        <v>47</v>
      </c>
      <c r="B51" s="9" t="inlineStr">
        <is>
          <t>Fase 2</t>
        </is>
      </c>
      <c r="C51" s="25">
        <f>IFERROR(VLOOKUP(B51,Referensi!$A$5:$B$10,2,FALSE),"")</f>
        <v/>
      </c>
      <c r="D51" s="9" t="inlineStr">
        <is>
          <t>US-09</t>
        </is>
      </c>
      <c r="E51" s="7" t="inlineStr">
        <is>
          <t>Status pekerjaan berjalan</t>
        </is>
      </c>
      <c r="F51" s="10" t="inlineStr">
        <is>
          <t>User Story</t>
        </is>
      </c>
      <c r="G51" s="10" t="inlineStr">
        <is>
          <t>Frontend</t>
        </is>
      </c>
      <c r="H51" s="10" t="inlineStr">
        <is>
          <t>Ikhwan</t>
        </is>
      </c>
      <c r="I51" s="10" t="inlineStr">
        <is>
          <t>S4</t>
        </is>
      </c>
      <c r="J51" s="33" t="n">
        <v>3</v>
      </c>
      <c r="K51" s="10" t="inlineStr">
        <is>
          <t>Should</t>
        </is>
      </c>
      <c r="L51" s="9" t="inlineStr">
        <is>
          <t>To Do</t>
        </is>
      </c>
      <c r="M51" s="34">
        <f>IFERROR(VLOOKUP(I51,Referensi!$F$5:$G$13,2,FALSE),"")</f>
        <v/>
      </c>
      <c r="N51" s="8" t="n">
        <v>35</v>
      </c>
      <c r="O51" s="35" t="inlineStr">
        <is>
          <t>Digeser dari Fase 1</t>
        </is>
      </c>
    </row>
    <row r="52" ht="22" customHeight="1">
      <c r="A52" s="8" t="n">
        <v>48</v>
      </c>
      <c r="B52" s="9" t="inlineStr">
        <is>
          <t>Fase 2</t>
        </is>
      </c>
      <c r="C52" s="25">
        <f>IFERROR(VLOOKUP(B52,Referensi!$A$5:$B$10,2,FALSE),"")</f>
        <v/>
      </c>
      <c r="D52" s="9" t="inlineStr">
        <is>
          <t>US-17</t>
        </is>
      </c>
      <c r="E52" s="7" t="inlineStr">
        <is>
          <t>Baca folder OneDrive</t>
        </is>
      </c>
      <c r="F52" s="10" t="inlineStr">
        <is>
          <t>User Story</t>
        </is>
      </c>
      <c r="G52" s="10" t="inlineStr">
        <is>
          <t>Backend</t>
        </is>
      </c>
      <c r="H52" s="10" t="inlineStr">
        <is>
          <t>Rafli</t>
        </is>
      </c>
      <c r="I52" s="10" t="inlineStr">
        <is>
          <t>S4</t>
        </is>
      </c>
      <c r="J52" s="33" t="n">
        <v>8</v>
      </c>
      <c r="K52" s="10" t="inlineStr">
        <is>
          <t>Must</t>
        </is>
      </c>
      <c r="L52" s="9" t="inlineStr">
        <is>
          <t>To Do</t>
        </is>
      </c>
      <c r="M52" s="34">
        <f>IFERROR(VLOOKUP(I52,Referensi!$F$5:$G$13,2,FALSE),"")</f>
        <v/>
      </c>
      <c r="N52" s="8" t="n">
        <v>30</v>
      </c>
      <c r="O52" s="35" t="inlineStr">
        <is>
          <t>Menunggu NDA &amp; folder dari mitra</t>
        </is>
      </c>
    </row>
    <row r="53" ht="22" customHeight="1">
      <c r="A53" s="8" t="n">
        <v>49</v>
      </c>
      <c r="B53" s="9" t="inlineStr">
        <is>
          <t>Fase 2</t>
        </is>
      </c>
      <c r="C53" s="25">
        <f>IFERROR(VLOOKUP(B53,Referensi!$A$5:$B$10,2,FALSE),"")</f>
        <v/>
      </c>
      <c r="D53" s="9" t="inlineStr">
        <is>
          <t>US-22</t>
        </is>
      </c>
      <c r="E53" s="7" t="inlineStr">
        <is>
          <t>OCR dokumen penuh</t>
        </is>
      </c>
      <c r="F53" s="10" t="inlineStr">
        <is>
          <t>User Story</t>
        </is>
      </c>
      <c r="G53" s="10" t="inlineStr">
        <is>
          <t>Data/ML</t>
        </is>
      </c>
      <c r="H53" s="10" t="inlineStr">
        <is>
          <t>Fathir</t>
        </is>
      </c>
      <c r="I53" s="10" t="inlineStr">
        <is>
          <t>S4</t>
        </is>
      </c>
      <c r="J53" s="33" t="n">
        <v>8</v>
      </c>
      <c r="K53" s="10" t="inlineStr">
        <is>
          <t>Should</t>
        </is>
      </c>
      <c r="L53" s="9" t="inlineStr">
        <is>
          <t>To Do</t>
        </is>
      </c>
      <c r="M53" s="34">
        <f>IFERROR(VLOOKUP(I53,Referensi!$F$5:$G$13,2,FALSE),"")</f>
        <v/>
      </c>
      <c r="N53" s="8" t="n">
        <v>31</v>
      </c>
      <c r="O53" s="35" t="inlineStr">
        <is>
          <t>Digeser dari Fase 1</t>
        </is>
      </c>
    </row>
    <row r="54" ht="22" customHeight="1">
      <c r="A54" s="8" t="n">
        <v>50</v>
      </c>
      <c r="B54" s="9" t="inlineStr">
        <is>
          <t>Fase 2</t>
        </is>
      </c>
      <c r="C54" s="25">
        <f>IFERROR(VLOOKUP(B54,Referensi!$A$5:$B$10,2,FALSE),"")</f>
        <v/>
      </c>
      <c r="D54" s="9" t="inlineStr">
        <is>
          <t>US-26a</t>
        </is>
      </c>
      <c r="E54" s="7" t="inlineStr">
        <is>
          <t>Penyimpanan blok terstruktur di DB</t>
        </is>
      </c>
      <c r="F54" s="10" t="inlineStr">
        <is>
          <t>User Story</t>
        </is>
      </c>
      <c r="G54" s="10" t="inlineStr">
        <is>
          <t>Backend</t>
        </is>
      </c>
      <c r="H54" s="10" t="inlineStr">
        <is>
          <t>Rafli</t>
        </is>
      </c>
      <c r="I54" s="10" t="inlineStr">
        <is>
          <t>S4</t>
        </is>
      </c>
      <c r="J54" s="33" t="n">
        <v>5</v>
      </c>
      <c r="K54" s="10" t="inlineStr">
        <is>
          <t>Must</t>
        </is>
      </c>
      <c r="L54" s="9" t="inlineStr">
        <is>
          <t>To Do</t>
        </is>
      </c>
      <c r="M54" s="34">
        <f>IFERROR(VLOOKUP(I54,Referensi!$F$5:$G$13,2,FALSE),"")</f>
        <v/>
      </c>
      <c r="N54" s="8" t="n">
        <v>36</v>
      </c>
      <c r="O54" s="35" t="inlineStr">
        <is>
          <t>Bergantung parser US-32</t>
        </is>
      </c>
    </row>
    <row r="55" ht="22" customHeight="1">
      <c r="A55" s="8" t="n">
        <v>51</v>
      </c>
      <c r="B55" s="9" t="inlineStr">
        <is>
          <t>Fase 2</t>
        </is>
      </c>
      <c r="C55" s="25">
        <f>IFERROR(VLOOKUP(B55,Referensi!$A$5:$B$10,2,FALSE),"")</f>
        <v/>
      </c>
      <c r="D55" s="9" t="inlineStr">
        <is>
          <t>AI-M2</t>
        </is>
      </c>
      <c r="E55" s="7" t="inlineStr">
        <is>
          <t>Folder OneDrive peraturan internal</t>
        </is>
      </c>
      <c r="F55" s="10" t="inlineStr">
        <is>
          <t>Blocker Mitra</t>
        </is>
      </c>
      <c r="G55" s="10" t="inlineStr">
        <is>
          <t>Mitra</t>
        </is>
      </c>
      <c r="H55" s="10" t="inlineStr">
        <is>
          <t>Faris (DPEA)</t>
        </is>
      </c>
      <c r="I55" s="10" t="inlineStr">
        <is>
          <t>S3</t>
        </is>
      </c>
      <c r="J55" s="33" t="n"/>
      <c r="K55" s="10" t="inlineStr">
        <is>
          <t>Should</t>
        </is>
      </c>
      <c r="L55" s="9" t="inlineStr">
        <is>
          <t>Blocked</t>
        </is>
      </c>
      <c r="M55" s="34">
        <f>IFERROR(VLOOKUP(I55,Referensi!$F$5:$G$13,2,FALSE),"")</f>
        <v/>
      </c>
      <c r="N55" s="8" t="n">
        <v>26</v>
      </c>
      <c r="O55" s="35" t="inlineStr">
        <is>
          <t>Menunggu NDA</t>
        </is>
      </c>
    </row>
    <row r="56" ht="22" customHeight="1">
      <c r="A56" s="8" t="n">
        <v>52</v>
      </c>
      <c r="B56" s="9" t="inlineStr">
        <is>
          <t>Fase 3</t>
        </is>
      </c>
      <c r="C56" s="25">
        <f>IFERROR(VLOOKUP(B56,Referensi!$A$5:$B$10,2,FALSE),"")</f>
        <v/>
      </c>
      <c r="D56" s="9" t="inlineStr">
        <is>
          <t>US-64</t>
        </is>
      </c>
      <c r="E56" s="7" t="inlineStr">
        <is>
          <t>Rumuskan aturan klasifikasi harmonisasi bersama mitra</t>
        </is>
      </c>
      <c r="F56" s="10" t="inlineStr">
        <is>
          <t>Spike</t>
        </is>
      </c>
      <c r="G56" s="10" t="inlineStr">
        <is>
          <t>PM/BA</t>
        </is>
      </c>
      <c r="H56" s="10" t="inlineStr">
        <is>
          <t>Zaky</t>
        </is>
      </c>
      <c r="I56" s="10" t="inlineStr">
        <is>
          <t>S3</t>
        </is>
      </c>
      <c r="J56" s="33" t="n">
        <v>5</v>
      </c>
      <c r="K56" s="10" t="inlineStr">
        <is>
          <t>Must</t>
        </is>
      </c>
      <c r="L56" s="9" t="inlineStr">
        <is>
          <t>To Do</t>
        </is>
      </c>
      <c r="M56" s="34">
        <f>IFERROR(VLOOKUP(I56,Referensi!$F$5:$G$13,2,FALSE),"")</f>
        <v/>
      </c>
      <c r="N56" s="8" t="n"/>
      <c r="O56" s="35" t="inlineStr">
        <is>
          <t>Ambang kemiripan belum dijawab mitra</t>
        </is>
      </c>
    </row>
    <row r="57" ht="22" customHeight="1">
      <c r="A57" s="8" t="n">
        <v>53</v>
      </c>
      <c r="B57" s="9" t="inlineStr">
        <is>
          <t>Fase 3</t>
        </is>
      </c>
      <c r="C57" s="25">
        <f>IFERROR(VLOOKUP(B57,Referensi!$A$5:$B$10,2,FALSE),"")</f>
        <v/>
      </c>
      <c r="D57" s="9" t="inlineStr">
        <is>
          <t>ISU-06</t>
        </is>
      </c>
      <c r="E57" s="7" t="inlineStr">
        <is>
          <t>Ambang kemiripan pasal</t>
        </is>
      </c>
      <c r="F57" s="10" t="inlineStr">
        <is>
          <t>Blocker Mitra</t>
        </is>
      </c>
      <c r="G57" s="10" t="inlineStr">
        <is>
          <t>Mitra</t>
        </is>
      </c>
      <c r="H57" s="10" t="inlineStr">
        <is>
          <t>Faris (DPEA)</t>
        </is>
      </c>
      <c r="I57" s="10" t="inlineStr">
        <is>
          <t>S3</t>
        </is>
      </c>
      <c r="J57" s="33" t="n"/>
      <c r="K57" s="10" t="inlineStr">
        <is>
          <t>Must</t>
        </is>
      </c>
      <c r="L57" s="9" t="inlineStr">
        <is>
          <t>Blocked</t>
        </is>
      </c>
      <c r="M57" s="34">
        <f>IFERROR(VLOOKUP(I57,Referensi!$F$5:$G$13,2,FALSE),"")</f>
        <v/>
      </c>
      <c r="N57" s="8" t="n">
        <v>28</v>
      </c>
      <c r="O57" s="35" t="inlineStr">
        <is>
          <t>Memblokir seluruh mesin klasifikasi</t>
        </is>
      </c>
    </row>
    <row r="58" ht="22" customHeight="1">
      <c r="A58" s="8" t="n">
        <v>54</v>
      </c>
      <c r="B58" s="9" t="inlineStr">
        <is>
          <t>Fase 3</t>
        </is>
      </c>
      <c r="C58" s="25">
        <f>IFERROR(VLOOKUP(B58,Referensi!$A$5:$B$10,2,FALSE),"")</f>
        <v/>
      </c>
      <c r="D58" s="9" t="inlineStr">
        <is>
          <t>US-41</t>
        </is>
      </c>
      <c r="E58" s="7" t="inlineStr">
        <is>
          <t>Jalankan harmonisasi draft</t>
        </is>
      </c>
      <c r="F58" s="10" t="inlineStr">
        <is>
          <t>User Story</t>
        </is>
      </c>
      <c r="G58" s="10" t="inlineStr">
        <is>
          <t>Data/ML</t>
        </is>
      </c>
      <c r="H58" s="10" t="inlineStr">
        <is>
          <t>Fathir</t>
        </is>
      </c>
      <c r="I58" s="10" t="inlineStr">
        <is>
          <t>S5</t>
        </is>
      </c>
      <c r="J58" s="33" t="n">
        <v>5</v>
      </c>
      <c r="K58" s="10" t="inlineStr">
        <is>
          <t>Must</t>
        </is>
      </c>
      <c r="L58" s="9" t="inlineStr">
        <is>
          <t>To Do</t>
        </is>
      </c>
      <c r="M58" s="34">
        <f>IFERROR(VLOOKUP(I58,Referensi!$F$5:$G$13,2,FALSE),"")</f>
        <v/>
      </c>
      <c r="N58" s="8" t="n"/>
      <c r="O58" s="35" t="inlineStr"/>
    </row>
    <row r="59" ht="22" customHeight="1">
      <c r="A59" s="8" t="n">
        <v>55</v>
      </c>
      <c r="B59" s="9" t="inlineStr">
        <is>
          <t>Fase 3</t>
        </is>
      </c>
      <c r="C59" s="25">
        <f>IFERROR(VLOOKUP(B59,Referensi!$A$5:$B$10,2,FALSE),"")</f>
        <v/>
      </c>
      <c r="D59" s="9" t="inlineStr">
        <is>
          <t>US-42</t>
        </is>
      </c>
      <c r="E59" s="7" t="inlineStr">
        <is>
          <t>Pemilihan kandidat peraturan pembanding</t>
        </is>
      </c>
      <c r="F59" s="10" t="inlineStr">
        <is>
          <t>User Story</t>
        </is>
      </c>
      <c r="G59" s="10" t="inlineStr">
        <is>
          <t>Data/ML</t>
        </is>
      </c>
      <c r="H59" s="10" t="inlineStr">
        <is>
          <t>Fathir</t>
        </is>
      </c>
      <c r="I59" s="10" t="inlineStr">
        <is>
          <t>S5</t>
        </is>
      </c>
      <c r="J59" s="33" t="n">
        <v>8</v>
      </c>
      <c r="K59" s="10" t="inlineStr">
        <is>
          <t>Must</t>
        </is>
      </c>
      <c r="L59" s="9" t="inlineStr">
        <is>
          <t>To Do</t>
        </is>
      </c>
      <c r="M59" s="34">
        <f>IFERROR(VLOOKUP(I59,Referensi!$F$5:$G$13,2,FALSE),"")</f>
        <v/>
      </c>
      <c r="N59" s="8" t="n"/>
      <c r="O59" s="35" t="inlineStr"/>
    </row>
    <row r="60" ht="22" customHeight="1">
      <c r="A60" s="8" t="n">
        <v>56</v>
      </c>
      <c r="B60" s="9" t="inlineStr">
        <is>
          <t>Fase 3</t>
        </is>
      </c>
      <c r="C60" s="25">
        <f>IFERROR(VLOOKUP(B60,Referensi!$A$5:$B$10,2,FALSE),"")</f>
        <v/>
      </c>
      <c r="D60" s="9" t="inlineStr">
        <is>
          <t>US-43</t>
        </is>
      </c>
      <c r="E60" s="7" t="inlineStr">
        <is>
          <t>Pencocokan rujukan pasal eksplisit</t>
        </is>
      </c>
      <c r="F60" s="10" t="inlineStr">
        <is>
          <t>User Story</t>
        </is>
      </c>
      <c r="G60" s="10" t="inlineStr">
        <is>
          <t>Data/ML</t>
        </is>
      </c>
      <c r="H60" s="10" t="inlineStr">
        <is>
          <t>Fathir</t>
        </is>
      </c>
      <c r="I60" s="10" t="inlineStr">
        <is>
          <t>S5</t>
        </is>
      </c>
      <c r="J60" s="33" t="n">
        <v>8</v>
      </c>
      <c r="K60" s="10" t="inlineStr">
        <is>
          <t>Must</t>
        </is>
      </c>
      <c r="L60" s="9" t="inlineStr">
        <is>
          <t>To Do</t>
        </is>
      </c>
      <c r="M60" s="34">
        <f>IFERROR(VLOOKUP(I60,Referensi!$F$5:$G$13,2,FALSE),"")</f>
        <v/>
      </c>
      <c r="N60" s="8" t="n"/>
      <c r="O60" s="35" t="inlineStr"/>
    </row>
    <row r="61" ht="22" customHeight="1">
      <c r="A61" s="8" t="n">
        <v>57</v>
      </c>
      <c r="B61" s="9" t="inlineStr">
        <is>
          <t>Fase 3</t>
        </is>
      </c>
      <c r="C61" s="25">
        <f>IFERROR(VLOOKUP(B61,Referensi!$A$5:$B$10,2,FALSE),"")</f>
        <v/>
      </c>
      <c r="D61" s="9" t="inlineStr">
        <is>
          <t>US-44</t>
        </is>
      </c>
      <c r="E61" s="7" t="inlineStr">
        <is>
          <t>Deteksi rujukan ke peraturan dicabut</t>
        </is>
      </c>
      <c r="F61" s="10" t="inlineStr">
        <is>
          <t>User Story</t>
        </is>
      </c>
      <c r="G61" s="10" t="inlineStr">
        <is>
          <t>Data/ML</t>
        </is>
      </c>
      <c r="H61" s="10" t="inlineStr">
        <is>
          <t>Fathir</t>
        </is>
      </c>
      <c r="I61" s="10" t="inlineStr">
        <is>
          <t>S5</t>
        </is>
      </c>
      <c r="J61" s="33" t="n">
        <v>5</v>
      </c>
      <c r="K61" s="10" t="inlineStr">
        <is>
          <t>Must</t>
        </is>
      </c>
      <c r="L61" s="9" t="inlineStr">
        <is>
          <t>To Do</t>
        </is>
      </c>
      <c r="M61" s="34">
        <f>IFERROR(VLOOKUP(I61,Referensi!$F$5:$G$13,2,FALSE),"")</f>
        <v/>
      </c>
      <c r="N61" s="8" t="n"/>
      <c r="O61" s="35" t="inlineStr"/>
    </row>
    <row r="62" ht="22" customHeight="1">
      <c r="A62" s="8" t="n">
        <v>58</v>
      </c>
      <c r="B62" s="9" t="inlineStr">
        <is>
          <t>Fase 3</t>
        </is>
      </c>
      <c r="C62" s="25">
        <f>IFERROR(VLOOKUP(B62,Referensi!$A$5:$B$10,2,FALSE),"")</f>
        <v/>
      </c>
      <c r="D62" s="9" t="inlineStr">
        <is>
          <t>US-45</t>
        </is>
      </c>
      <c r="E62" s="7" t="inlineStr">
        <is>
          <t>Analisis kesesuaian substansi</t>
        </is>
      </c>
      <c r="F62" s="10" t="inlineStr">
        <is>
          <t>User Story</t>
        </is>
      </c>
      <c r="G62" s="10" t="inlineStr">
        <is>
          <t>Data/ML</t>
        </is>
      </c>
      <c r="H62" s="10" t="inlineStr">
        <is>
          <t>Fathir</t>
        </is>
      </c>
      <c r="I62" s="10" t="inlineStr">
        <is>
          <t>S5</t>
        </is>
      </c>
      <c r="J62" s="33" t="n">
        <v>13</v>
      </c>
      <c r="K62" s="10" t="inlineStr">
        <is>
          <t>Must</t>
        </is>
      </c>
      <c r="L62" s="9" t="inlineStr">
        <is>
          <t>To Do</t>
        </is>
      </c>
      <c r="M62" s="34">
        <f>IFERROR(VLOOKUP(I62,Referensi!$F$5:$G$13,2,FALSE),"")</f>
        <v/>
      </c>
      <c r="N62" s="8" t="n"/>
      <c r="O62" s="35" t="inlineStr"/>
    </row>
    <row r="63" ht="22" customHeight="1">
      <c r="A63" s="8" t="n">
        <v>59</v>
      </c>
      <c r="B63" s="9" t="inlineStr">
        <is>
          <t>Fase 3</t>
        </is>
      </c>
      <c r="C63" s="25">
        <f>IFERROR(VLOOKUP(B63,Referensi!$A$5:$B$10,2,FALSE),"")</f>
        <v/>
      </c>
      <c r="D63" s="9" t="inlineStr">
        <is>
          <t>US-46</t>
        </is>
      </c>
      <c r="E63" s="7" t="inlineStr">
        <is>
          <t>Klasifikasi: menggantikan / memperjelas / pasal baru / duplikasi / konflik</t>
        </is>
      </c>
      <c r="F63" s="10" t="inlineStr">
        <is>
          <t>User Story</t>
        </is>
      </c>
      <c r="G63" s="10" t="inlineStr">
        <is>
          <t>Data/ML</t>
        </is>
      </c>
      <c r="H63" s="10" t="inlineStr">
        <is>
          <t>Fathir</t>
        </is>
      </c>
      <c r="I63" s="10" t="inlineStr">
        <is>
          <t>S6</t>
        </is>
      </c>
      <c r="J63" s="33" t="n">
        <v>8</v>
      </c>
      <c r="K63" s="10" t="inlineStr">
        <is>
          <t>Must</t>
        </is>
      </c>
      <c r="L63" s="9" t="inlineStr">
        <is>
          <t>To Do</t>
        </is>
      </c>
      <c r="M63" s="34">
        <f>IFERROR(VLOOKUP(I63,Referensi!$F$5:$G$13,2,FALSE),"")</f>
        <v/>
      </c>
      <c r="N63" s="8" t="n"/>
      <c r="O63" s="35" t="inlineStr"/>
    </row>
    <row r="64" ht="22" customHeight="1">
      <c r="A64" s="8" t="n">
        <v>60</v>
      </c>
      <c r="B64" s="9" t="inlineStr">
        <is>
          <t>Fase 3</t>
        </is>
      </c>
      <c r="C64" s="25">
        <f>IFERROR(VLOOKUP(B64,Referensi!$A$5:$B$10,2,FALSE),"")</f>
        <v/>
      </c>
      <c r="D64" s="9" t="inlineStr">
        <is>
          <t>US-47</t>
        </is>
      </c>
      <c r="E64" s="7" t="inlineStr">
        <is>
          <t>Atribut temuan + kutipan pasal</t>
        </is>
      </c>
      <c r="F64" s="10" t="inlineStr">
        <is>
          <t>User Story</t>
        </is>
      </c>
      <c r="G64" s="10" t="inlineStr">
        <is>
          <t>Data/ML</t>
        </is>
      </c>
      <c r="H64" s="10" t="inlineStr">
        <is>
          <t>Fathir</t>
        </is>
      </c>
      <c r="I64" s="10" t="inlineStr">
        <is>
          <t>S6</t>
        </is>
      </c>
      <c r="J64" s="33" t="n">
        <v>3</v>
      </c>
      <c r="K64" s="10" t="inlineStr">
        <is>
          <t>Must</t>
        </is>
      </c>
      <c r="L64" s="9" t="inlineStr">
        <is>
          <t>To Do</t>
        </is>
      </c>
      <c r="M64" s="34">
        <f>IFERROR(VLOOKUP(I64,Referensi!$F$5:$G$13,2,FALSE),"")</f>
        <v/>
      </c>
      <c r="N64" s="8" t="n"/>
      <c r="O64" s="35" t="inlineStr"/>
    </row>
    <row r="65" ht="22" customHeight="1">
      <c r="A65" s="8" t="n">
        <v>61</v>
      </c>
      <c r="B65" s="9" t="inlineStr">
        <is>
          <t>Fase 3</t>
        </is>
      </c>
      <c r="C65" s="25">
        <f>IFERROR(VLOOKUP(B65,Referensi!$A$5:$B$10,2,FALSE),"")</f>
        <v/>
      </c>
      <c r="D65" s="9" t="inlineStr">
        <is>
          <t>US-48</t>
        </is>
      </c>
      <c r="E65" s="7" t="inlineStr">
        <is>
          <t>Laporan harmonisasi &amp; rekomendasi awal</t>
        </is>
      </c>
      <c r="F65" s="10" t="inlineStr">
        <is>
          <t>User Story</t>
        </is>
      </c>
      <c r="G65" s="10" t="inlineStr">
        <is>
          <t>Data/ML</t>
        </is>
      </c>
      <c r="H65" s="10" t="inlineStr">
        <is>
          <t>Fathir</t>
        </is>
      </c>
      <c r="I65" s="10" t="inlineStr">
        <is>
          <t>S6</t>
        </is>
      </c>
      <c r="J65" s="33" t="n">
        <v>5</v>
      </c>
      <c r="K65" s="10" t="inlineStr">
        <is>
          <t>Must</t>
        </is>
      </c>
      <c r="L65" s="9" t="inlineStr">
        <is>
          <t>To Do</t>
        </is>
      </c>
      <c r="M65" s="34">
        <f>IFERROR(VLOOKUP(I65,Referensi!$F$5:$G$13,2,FALSE),"")</f>
        <v/>
      </c>
      <c r="N65" s="8" t="n"/>
      <c r="O65" s="35" t="inlineStr"/>
    </row>
    <row r="66" ht="22" customHeight="1">
      <c r="A66" s="8" t="n">
        <v>62</v>
      </c>
      <c r="B66" s="9" t="inlineStr">
        <is>
          <t>Fase 3</t>
        </is>
      </c>
      <c r="C66" s="25">
        <f>IFERROR(VLOOKUP(B66,Referensi!$A$5:$B$10,2,FALSE),"")</f>
        <v/>
      </c>
      <c r="D66" s="9" t="inlineStr">
        <is>
          <t>US-49</t>
        </is>
      </c>
      <c r="E66" s="7" t="inlineStr">
        <is>
          <t>Tandai temuan valid / tidak relevan</t>
        </is>
      </c>
      <c r="F66" s="10" t="inlineStr">
        <is>
          <t>User Story</t>
        </is>
      </c>
      <c r="G66" s="10" t="inlineStr">
        <is>
          <t>Frontend</t>
        </is>
      </c>
      <c r="H66" s="10" t="inlineStr">
        <is>
          <t>Ikhwan</t>
        </is>
      </c>
      <c r="I66" s="10" t="inlineStr">
        <is>
          <t>S6</t>
        </is>
      </c>
      <c r="J66" s="33" t="n">
        <v>5</v>
      </c>
      <c r="K66" s="10" t="inlineStr">
        <is>
          <t>Should</t>
        </is>
      </c>
      <c r="L66" s="9" t="inlineStr">
        <is>
          <t>To Do</t>
        </is>
      </c>
      <c r="M66" s="34">
        <f>IFERROR(VLOOKUP(I66,Referensi!$F$5:$G$13,2,FALSE),"")</f>
        <v/>
      </c>
      <c r="N66" s="8" t="n"/>
      <c r="O66" s="35" t="inlineStr"/>
    </row>
    <row r="67" ht="22" customHeight="1">
      <c r="A67" s="8" t="n">
        <v>63</v>
      </c>
      <c r="B67" s="9" t="inlineStr">
        <is>
          <t>Fase 3</t>
        </is>
      </c>
      <c r="C67" s="25">
        <f>IFERROR(VLOOKUP(B67,Referensi!$A$5:$B$10,2,FALSE),"")</f>
        <v/>
      </c>
      <c r="D67" s="9" t="inlineStr">
        <is>
          <t>US-49a</t>
        </is>
      </c>
      <c r="E67" s="7" t="inlineStr">
        <is>
          <t>Buka PDF asli dari temuan</t>
        </is>
      </c>
      <c r="F67" s="10" t="inlineStr">
        <is>
          <t>User Story</t>
        </is>
      </c>
      <c r="G67" s="10" t="inlineStr">
        <is>
          <t>Frontend</t>
        </is>
      </c>
      <c r="H67" s="10" t="inlineStr">
        <is>
          <t>Ikhwan</t>
        </is>
      </c>
      <c r="I67" s="10" t="inlineStr">
        <is>
          <t>S6</t>
        </is>
      </c>
      <c r="J67" s="33" t="n">
        <v>2</v>
      </c>
      <c r="K67" s="10" t="inlineStr">
        <is>
          <t>Must</t>
        </is>
      </c>
      <c r="L67" s="9" t="inlineStr">
        <is>
          <t>To Do</t>
        </is>
      </c>
      <c r="M67" s="34">
        <f>IFERROR(VLOOKUP(I67,Referensi!$F$5:$G$13,2,FALSE),"")</f>
        <v/>
      </c>
      <c r="N67" s="8" t="n"/>
      <c r="O67" s="35" t="inlineStr">
        <is>
          <t>Syarat validasi sampling DPEA</t>
        </is>
      </c>
    </row>
    <row r="68" ht="22" customHeight="1">
      <c r="A68" s="8" t="n">
        <v>64</v>
      </c>
      <c r="B68" s="9" t="inlineStr">
        <is>
          <t>Fase 3</t>
        </is>
      </c>
      <c r="C68" s="25">
        <f>IFERROR(VLOOKUP(B68,Referensi!$A$5:$B$10,2,FALSE),"")</f>
        <v/>
      </c>
      <c r="D68" s="9" t="inlineStr">
        <is>
          <t>US-50</t>
        </is>
      </c>
      <c r="E68" s="7" t="inlineStr">
        <is>
          <t>Ekspor laporan harmonisasi</t>
        </is>
      </c>
      <c r="F68" s="10" t="inlineStr">
        <is>
          <t>User Story</t>
        </is>
      </c>
      <c r="G68" s="10" t="inlineStr">
        <is>
          <t>Backend</t>
        </is>
      </c>
      <c r="H68" s="10" t="inlineStr">
        <is>
          <t>Rafli</t>
        </is>
      </c>
      <c r="I68" s="10" t="inlineStr">
        <is>
          <t>S6</t>
        </is>
      </c>
      <c r="J68" s="33" t="n">
        <v>3</v>
      </c>
      <c r="K68" s="10" t="inlineStr">
        <is>
          <t>Should</t>
        </is>
      </c>
      <c r="L68" s="9" t="inlineStr">
        <is>
          <t>To Do</t>
        </is>
      </c>
      <c r="M68" s="34">
        <f>IFERROR(VLOOKUP(I68,Referensi!$F$5:$G$13,2,FALSE),"")</f>
        <v/>
      </c>
      <c r="N68" s="8" t="n"/>
      <c r="O68" s="35" t="inlineStr"/>
    </row>
    <row r="69" ht="22" customHeight="1">
      <c r="A69" s="8" t="n">
        <v>65</v>
      </c>
      <c r="B69" s="9" t="inlineStr">
        <is>
          <t>Fase 4</t>
        </is>
      </c>
      <c r="C69" s="25">
        <f>IFERROR(VLOOKUP(B69,Referensi!$A$5:$B$10,2,FALSE),"")</f>
        <v/>
      </c>
      <c r="D69" s="9" t="inlineStr">
        <is>
          <t>AI-M3..M6</t>
        </is>
      </c>
      <c r="E69" s="7" t="inlineStr">
        <is>
          <t>Contoh surat tanggapan + dokumen dasar + template</t>
        </is>
      </c>
      <c r="F69" s="10" t="inlineStr">
        <is>
          <t>Blocker Mitra</t>
        </is>
      </c>
      <c r="G69" s="10" t="inlineStr">
        <is>
          <t>Mitra</t>
        </is>
      </c>
      <c r="H69" s="10" t="inlineStr">
        <is>
          <t>Faris (DPEA)</t>
        </is>
      </c>
      <c r="I69" s="10" t="inlineStr">
        <is>
          <t>S1</t>
        </is>
      </c>
      <c r="J69" s="33" t="n"/>
      <c r="K69" s="10" t="inlineStr">
        <is>
          <t>Must</t>
        </is>
      </c>
      <c r="L69" s="9" t="inlineStr">
        <is>
          <t>Blocked</t>
        </is>
      </c>
      <c r="M69" s="34">
        <f>IFERROR(VLOOKUP(I69,Referensi!$F$5:$G$13,2,FALSE),"")</f>
        <v/>
      </c>
      <c r="N69" s="8" t="n">
        <v>27</v>
      </c>
      <c r="O69" s="35" t="inlineStr">
        <is>
          <t>Memblokir seluruh Fase 4 — tagih tiap rapat</t>
        </is>
      </c>
    </row>
    <row r="70" ht="22" customHeight="1">
      <c r="A70" s="8" t="n">
        <v>66</v>
      </c>
      <c r="B70" s="9" t="inlineStr">
        <is>
          <t>Fase 4</t>
        </is>
      </c>
      <c r="C70" s="25">
        <f>IFERROR(VLOOKUP(B70,Referensi!$A$5:$B$10,2,FALSE),"")</f>
        <v/>
      </c>
      <c r="D70" s="9" t="inlineStr">
        <is>
          <t>OI-02</t>
        </is>
      </c>
      <c r="E70" s="7" t="inlineStr">
        <is>
          <t>Penunjukan pilot user Unit Bisnis IT</t>
        </is>
      </c>
      <c r="F70" s="10" t="inlineStr">
        <is>
          <t>Blocker Mitra</t>
        </is>
      </c>
      <c r="G70" s="10" t="inlineStr">
        <is>
          <t>Mitra</t>
        </is>
      </c>
      <c r="H70" s="10" t="inlineStr">
        <is>
          <t>Faris (DPEA)</t>
        </is>
      </c>
      <c r="I70" s="10" t="inlineStr">
        <is>
          <t>S5</t>
        </is>
      </c>
      <c r="J70" s="33" t="n"/>
      <c r="K70" s="10" t="inlineStr">
        <is>
          <t>Must</t>
        </is>
      </c>
      <c r="L70" s="9" t="inlineStr">
        <is>
          <t>Blocked</t>
        </is>
      </c>
      <c r="M70" s="34">
        <f>IFERROR(VLOOKUP(I70,Referensi!$F$5:$G$13,2,FALSE),"")</f>
        <v/>
      </c>
      <c r="N70" s="8" t="n">
        <v>29</v>
      </c>
      <c r="O70" s="35" t="inlineStr"/>
    </row>
    <row r="71" ht="22" customHeight="1">
      <c r="A71" s="8" t="n">
        <v>67</v>
      </c>
      <c r="B71" s="9" t="inlineStr">
        <is>
          <t>Fase 4</t>
        </is>
      </c>
      <c r="C71" s="25">
        <f>IFERROR(VLOOKUP(B71,Referensi!$A$5:$B$10,2,FALSE),"")</f>
        <v/>
      </c>
      <c r="D71" s="9" t="inlineStr">
        <is>
          <t>US-51</t>
        </is>
      </c>
      <c r="E71" s="7" t="inlineStr">
        <is>
          <t>Profil PoV unit fungsi</t>
        </is>
      </c>
      <c r="F71" s="10" t="inlineStr">
        <is>
          <t>User Story</t>
        </is>
      </c>
      <c r="G71" s="10" t="inlineStr">
        <is>
          <t>Backend</t>
        </is>
      </c>
      <c r="H71" s="10" t="inlineStr">
        <is>
          <t>Rafli</t>
        </is>
      </c>
      <c r="I71" s="10" t="inlineStr">
        <is>
          <t>S6</t>
        </is>
      </c>
      <c r="J71" s="33" t="n">
        <v>8</v>
      </c>
      <c r="K71" s="10" t="inlineStr">
        <is>
          <t>Must</t>
        </is>
      </c>
      <c r="L71" s="9" t="inlineStr">
        <is>
          <t>To Do</t>
        </is>
      </c>
      <c r="M71" s="34">
        <f>IFERROR(VLOOKUP(I71,Referensi!$F$5:$G$13,2,FALSE),"")</f>
        <v/>
      </c>
      <c r="N71" s="8" t="n"/>
      <c r="O71" s="35" t="inlineStr"/>
    </row>
    <row r="72" ht="22" customHeight="1">
      <c r="A72" s="8" t="n">
        <v>68</v>
      </c>
      <c r="B72" s="9" t="inlineStr">
        <is>
          <t>Fase 4</t>
        </is>
      </c>
      <c r="C72" s="25">
        <f>IFERROR(VLOOKUP(B72,Referensi!$A$5:$B$10,2,FALSE),"")</f>
        <v/>
      </c>
      <c r="D72" s="9" t="inlineStr">
        <is>
          <t>US-52</t>
        </is>
      </c>
      <c r="E72" s="7" t="inlineStr">
        <is>
          <t>Template tanggapan &amp; checklist pasal</t>
        </is>
      </c>
      <c r="F72" s="10" t="inlineStr">
        <is>
          <t>User Story</t>
        </is>
      </c>
      <c r="G72" s="10" t="inlineStr">
        <is>
          <t>Backend</t>
        </is>
      </c>
      <c r="H72" s="10" t="inlineStr">
        <is>
          <t>Rafli</t>
        </is>
      </c>
      <c r="I72" s="10" t="inlineStr">
        <is>
          <t>S6</t>
        </is>
      </c>
      <c r="J72" s="33" t="n">
        <v>5</v>
      </c>
      <c r="K72" s="10" t="inlineStr">
        <is>
          <t>Must</t>
        </is>
      </c>
      <c r="L72" s="9" t="inlineStr">
        <is>
          <t>To Do</t>
        </is>
      </c>
      <c r="M72" s="34">
        <f>IFERROR(VLOOKUP(I72,Referensi!$F$5:$G$13,2,FALSE),"")</f>
        <v/>
      </c>
      <c r="N72" s="8" t="n"/>
      <c r="O72" s="35" t="inlineStr"/>
    </row>
    <row r="73" ht="22" customHeight="1">
      <c r="A73" s="8" t="n">
        <v>69</v>
      </c>
      <c r="B73" s="9" t="inlineStr">
        <is>
          <t>Fase 4</t>
        </is>
      </c>
      <c r="C73" s="25">
        <f>IFERROR(VLOOKUP(B73,Referensi!$A$5:$B$10,2,FALSE),"")</f>
        <v/>
      </c>
      <c r="D73" s="9" t="inlineStr">
        <is>
          <t>US-57</t>
        </is>
      </c>
      <c r="E73" s="7" t="inlineStr">
        <is>
          <t>Struktur data multi-PoV</t>
        </is>
      </c>
      <c r="F73" s="10" t="inlineStr">
        <is>
          <t>User Story</t>
        </is>
      </c>
      <c r="G73" s="10" t="inlineStr">
        <is>
          <t>Backend</t>
        </is>
      </c>
      <c r="H73" s="10" t="inlineStr">
        <is>
          <t>Rafli</t>
        </is>
      </c>
      <c r="I73" s="10" t="inlineStr">
        <is>
          <t>S6</t>
        </is>
      </c>
      <c r="J73" s="33" t="n">
        <v>3</v>
      </c>
      <c r="K73" s="10" t="inlineStr">
        <is>
          <t>Must</t>
        </is>
      </c>
      <c r="L73" s="9" t="inlineStr">
        <is>
          <t>To Do</t>
        </is>
      </c>
      <c r="M73" s="34">
        <f>IFERROR(VLOOKUP(I73,Referensi!$F$5:$G$13,2,FALSE),"")</f>
        <v/>
      </c>
      <c r="N73" s="8" t="n"/>
      <c r="O73" s="35" t="inlineStr"/>
    </row>
    <row r="74" ht="22" customHeight="1">
      <c r="A74" s="8" t="n">
        <v>70</v>
      </c>
      <c r="B74" s="9" t="inlineStr">
        <is>
          <t>Fase 4</t>
        </is>
      </c>
      <c r="C74" s="25">
        <f>IFERROR(VLOOKUP(B74,Referensi!$A$5:$B$10,2,FALSE),"")</f>
        <v/>
      </c>
      <c r="D74" s="9" t="inlineStr">
        <is>
          <t>US-53</t>
        </is>
      </c>
      <c r="E74" s="7" t="inlineStr">
        <is>
          <t>Pemeriksaan kelengkapan checklist</t>
        </is>
      </c>
      <c r="F74" s="10" t="inlineStr">
        <is>
          <t>User Story</t>
        </is>
      </c>
      <c r="G74" s="10" t="inlineStr">
        <is>
          <t>Data/ML</t>
        </is>
      </c>
      <c r="H74" s="10" t="inlineStr">
        <is>
          <t>Fathir</t>
        </is>
      </c>
      <c r="I74" s="10" t="inlineStr">
        <is>
          <t>S7</t>
        </is>
      </c>
      <c r="J74" s="33" t="n">
        <v>5</v>
      </c>
      <c r="K74" s="10" t="inlineStr">
        <is>
          <t>Must</t>
        </is>
      </c>
      <c r="L74" s="9" t="inlineStr">
        <is>
          <t>To Do</t>
        </is>
      </c>
      <c r="M74" s="34">
        <f>IFERROR(VLOOKUP(I74,Referensi!$F$5:$G$13,2,FALSE),"")</f>
        <v/>
      </c>
      <c r="N74" s="8" t="n"/>
      <c r="O74" s="35" t="inlineStr"/>
    </row>
    <row r="75" ht="22" customHeight="1">
      <c r="A75" s="8" t="n">
        <v>71</v>
      </c>
      <c r="B75" s="9" t="inlineStr">
        <is>
          <t>Fase 4</t>
        </is>
      </c>
      <c r="C75" s="25">
        <f>IFERROR(VLOOKUP(B75,Referensi!$A$5:$B$10,2,FALSE),"")</f>
        <v/>
      </c>
      <c r="D75" s="9" t="inlineStr">
        <is>
          <t>US-54</t>
        </is>
      </c>
      <c r="E75" s="7" t="inlineStr">
        <is>
          <t>Narasi draft surat tanggapan</t>
        </is>
      </c>
      <c r="F75" s="10" t="inlineStr">
        <is>
          <t>User Story</t>
        </is>
      </c>
      <c r="G75" s="10" t="inlineStr">
        <is>
          <t>Data/ML</t>
        </is>
      </c>
      <c r="H75" s="10" t="inlineStr">
        <is>
          <t>Fathir</t>
        </is>
      </c>
      <c r="I75" s="10" t="inlineStr">
        <is>
          <t>S7</t>
        </is>
      </c>
      <c r="J75" s="33" t="n">
        <v>13</v>
      </c>
      <c r="K75" s="10" t="inlineStr">
        <is>
          <t>Must</t>
        </is>
      </c>
      <c r="L75" s="9" t="inlineStr">
        <is>
          <t>To Do</t>
        </is>
      </c>
      <c r="M75" s="34">
        <f>IFERROR(VLOOKUP(I75,Referensi!$F$5:$G$13,2,FALSE),"")</f>
        <v/>
      </c>
      <c r="N75" s="8" t="n"/>
      <c r="O75" s="35" t="inlineStr">
        <is>
          <t>Deliverable tersulit (5/5)</t>
        </is>
      </c>
    </row>
    <row r="76" ht="22" customHeight="1">
      <c r="A76" s="8" t="n">
        <v>72</v>
      </c>
      <c r="B76" s="9" t="inlineStr">
        <is>
          <t>Fase 4</t>
        </is>
      </c>
      <c r="C76" s="25">
        <f>IFERROR(VLOOKUP(B76,Referensi!$A$5:$B$10,2,FALSE),"")</f>
        <v/>
      </c>
      <c r="D76" s="9" t="inlineStr">
        <is>
          <t>US-55</t>
        </is>
      </c>
      <c r="E76" s="7" t="inlineStr">
        <is>
          <t>Sorot pasal berdampak + alasan</t>
        </is>
      </c>
      <c r="F76" s="10" t="inlineStr">
        <is>
          <t>User Story</t>
        </is>
      </c>
      <c r="G76" s="10" t="inlineStr">
        <is>
          <t>Data/ML</t>
        </is>
      </c>
      <c r="H76" s="10" t="inlineStr">
        <is>
          <t>Fathir</t>
        </is>
      </c>
      <c r="I76" s="10" t="inlineStr">
        <is>
          <t>S7</t>
        </is>
      </c>
      <c r="J76" s="33" t="n">
        <v>5</v>
      </c>
      <c r="K76" s="10" t="inlineStr">
        <is>
          <t>Should</t>
        </is>
      </c>
      <c r="L76" s="9" t="inlineStr">
        <is>
          <t>To Do</t>
        </is>
      </c>
      <c r="M76" s="34">
        <f>IFERROR(VLOOKUP(I76,Referensi!$F$5:$G$13,2,FALSE),"")</f>
        <v/>
      </c>
      <c r="N76" s="8" t="n"/>
      <c r="O76" s="35" t="inlineStr"/>
    </row>
    <row r="77" ht="22" customHeight="1">
      <c r="A77" s="8" t="n">
        <v>73</v>
      </c>
      <c r="B77" s="9" t="inlineStr">
        <is>
          <t>Fase 4</t>
        </is>
      </c>
      <c r="C77" s="25">
        <f>IFERROR(VLOOKUP(B77,Referensi!$A$5:$B$10,2,FALSE),"")</f>
        <v/>
      </c>
      <c r="D77" s="9" t="inlineStr">
        <is>
          <t>US-56</t>
        </is>
      </c>
      <c r="E77" s="7" t="inlineStr">
        <is>
          <t>Sunting draft tanggapan</t>
        </is>
      </c>
      <c r="F77" s="10" t="inlineStr">
        <is>
          <t>User Story</t>
        </is>
      </c>
      <c r="G77" s="10" t="inlineStr">
        <is>
          <t>Frontend</t>
        </is>
      </c>
      <c r="H77" s="10" t="inlineStr">
        <is>
          <t>Ikhwan</t>
        </is>
      </c>
      <c r="I77" s="10" t="inlineStr">
        <is>
          <t>S7</t>
        </is>
      </c>
      <c r="J77" s="33" t="n">
        <v>5</v>
      </c>
      <c r="K77" s="10" t="inlineStr">
        <is>
          <t>Must</t>
        </is>
      </c>
      <c r="L77" s="9" t="inlineStr">
        <is>
          <t>To Do</t>
        </is>
      </c>
      <c r="M77" s="34">
        <f>IFERROR(VLOOKUP(I77,Referensi!$F$5:$G$13,2,FALSE),"")</f>
        <v/>
      </c>
      <c r="N77" s="8" t="n"/>
      <c r="O77" s="35" t="inlineStr"/>
    </row>
    <row r="78" ht="22" customHeight="1">
      <c r="A78" s="8" t="n">
        <v>74</v>
      </c>
      <c r="B78" s="9" t="inlineStr">
        <is>
          <t>Fase 4</t>
        </is>
      </c>
      <c r="C78" s="25">
        <f>IFERROR(VLOOKUP(B78,Referensi!$A$5:$B$10,2,FALSE),"")</f>
        <v/>
      </c>
      <c r="D78" s="9" t="inlineStr">
        <is>
          <t>US-58</t>
        </is>
      </c>
      <c r="E78" s="7" t="inlineStr">
        <is>
          <t>Ekspor sesuai format unit</t>
        </is>
      </c>
      <c r="F78" s="10" t="inlineStr">
        <is>
          <t>User Story</t>
        </is>
      </c>
      <c r="G78" s="10" t="inlineStr">
        <is>
          <t>Backend</t>
        </is>
      </c>
      <c r="H78" s="10" t="inlineStr">
        <is>
          <t>Rafli</t>
        </is>
      </c>
      <c r="I78" s="10" t="inlineStr">
        <is>
          <t>S7</t>
        </is>
      </c>
      <c r="J78" s="33" t="n">
        <v>3</v>
      </c>
      <c r="K78" s="10" t="inlineStr">
        <is>
          <t>Must</t>
        </is>
      </c>
      <c r="L78" s="9" t="inlineStr">
        <is>
          <t>To Do</t>
        </is>
      </c>
      <c r="M78" s="34">
        <f>IFERROR(VLOOKUP(I78,Referensi!$F$5:$G$13,2,FALSE),"")</f>
        <v/>
      </c>
      <c r="N78" s="8" t="n"/>
      <c r="O78" s="35" t="inlineStr"/>
    </row>
    <row r="79" ht="22" customHeight="1">
      <c r="A79" s="8" t="n">
        <v>75</v>
      </c>
      <c r="B79" s="9" t="inlineStr">
        <is>
          <t>Fase 5</t>
        </is>
      </c>
      <c r="C79" s="25">
        <f>IFERROR(VLOOKUP(B79,Referensi!$A$5:$B$10,2,FALSE),"")</f>
        <v/>
      </c>
      <c r="D79" s="9" t="inlineStr">
        <is>
          <t>US-59</t>
        </is>
      </c>
      <c r="E79" s="7" t="inlineStr">
        <is>
          <t>Fallback test tanpa AI — seluruh fitur</t>
        </is>
      </c>
      <c r="F79" s="10" t="inlineStr">
        <is>
          <t>Chore</t>
        </is>
      </c>
      <c r="G79" s="10" t="inlineStr">
        <is>
          <t>Infra/QA</t>
        </is>
      </c>
      <c r="H79" s="10" t="inlineStr">
        <is>
          <t>Hamdan</t>
        </is>
      </c>
      <c r="I79" s="10" t="inlineStr">
        <is>
          <t>S7</t>
        </is>
      </c>
      <c r="J79" s="33" t="n">
        <v>5</v>
      </c>
      <c r="K79" s="10" t="inlineStr">
        <is>
          <t>Must</t>
        </is>
      </c>
      <c r="L79" s="9" t="inlineStr">
        <is>
          <t>To Do</t>
        </is>
      </c>
      <c r="M79" s="34">
        <f>IFERROR(VLOOKUP(I79,Referensi!$F$5:$G$13,2,FALSE),"")</f>
        <v/>
      </c>
      <c r="N79" s="8" t="n"/>
      <c r="O79" s="35" t="inlineStr"/>
    </row>
    <row r="80" ht="22" customHeight="1">
      <c r="A80" s="8" t="n">
        <v>76</v>
      </c>
      <c r="B80" s="9" t="inlineStr">
        <is>
          <t>Fase 5</t>
        </is>
      </c>
      <c r="C80" s="25">
        <f>IFERROR(VLOOKUP(B80,Referensi!$A$5:$B$10,2,FALSE),"")</f>
        <v/>
      </c>
      <c r="D80" s="9" t="inlineStr">
        <is>
          <t>US-63</t>
        </is>
      </c>
      <c r="E80" s="7" t="inlineStr">
        <is>
          <t>Evaluasi recall via sampling DPEA</t>
        </is>
      </c>
      <c r="F80" s="10" t="inlineStr">
        <is>
          <t>Chore</t>
        </is>
      </c>
      <c r="G80" s="10" t="inlineStr">
        <is>
          <t>PM/BA</t>
        </is>
      </c>
      <c r="H80" s="10" t="inlineStr">
        <is>
          <t>Zaky</t>
        </is>
      </c>
      <c r="I80" s="10" t="inlineStr">
        <is>
          <t>S7</t>
        </is>
      </c>
      <c r="J80" s="33" t="n">
        <v>3</v>
      </c>
      <c r="K80" s="10" t="inlineStr">
        <is>
          <t>Must</t>
        </is>
      </c>
      <c r="L80" s="9" t="inlineStr">
        <is>
          <t>To Do</t>
        </is>
      </c>
      <c r="M80" s="34">
        <f>IFERROR(VLOOKUP(I80,Referensi!$F$5:$G$13,2,FALSE),"")</f>
        <v/>
      </c>
      <c r="N80" s="8" t="n"/>
      <c r="O80" s="35" t="inlineStr"/>
    </row>
    <row r="81" ht="22" customHeight="1">
      <c r="A81" s="8" t="n">
        <v>77</v>
      </c>
      <c r="B81" s="9" t="inlineStr">
        <is>
          <t>Fase 5</t>
        </is>
      </c>
      <c r="C81" s="25">
        <f>IFERROR(VLOOKUP(B81,Referensi!$A$5:$B$10,2,FALSE),"")</f>
        <v/>
      </c>
      <c r="D81" s="9" t="inlineStr">
        <is>
          <t>US-60</t>
        </is>
      </c>
      <c r="E81" s="7" t="inlineStr">
        <is>
          <t>UAT — 4 fitur, ≥ 1 pilot user</t>
        </is>
      </c>
      <c r="F81" s="10" t="inlineStr">
        <is>
          <t>Chore</t>
        </is>
      </c>
      <c r="G81" s="10" t="inlineStr">
        <is>
          <t>Infra/QA</t>
        </is>
      </c>
      <c r="H81" s="10" t="inlineStr">
        <is>
          <t>Hamdan</t>
        </is>
      </c>
      <c r="I81" s="10" t="inlineStr">
        <is>
          <t>S8</t>
        </is>
      </c>
      <c r="J81" s="33" t="n">
        <v>8</v>
      </c>
      <c r="K81" s="10" t="inlineStr">
        <is>
          <t>Must</t>
        </is>
      </c>
      <c r="L81" s="9" t="inlineStr">
        <is>
          <t>To Do</t>
        </is>
      </c>
      <c r="M81" s="34">
        <f>IFERROR(VLOOKUP(I81,Referensi!$F$5:$G$13,2,FALSE),"")</f>
        <v/>
      </c>
      <c r="N81" s="8" t="n"/>
      <c r="O81" s="35" t="inlineStr"/>
    </row>
    <row r="82" ht="22" customHeight="1">
      <c r="A82" s="8" t="n">
        <v>78</v>
      </c>
      <c r="B82" s="9" t="inlineStr">
        <is>
          <t>Fase 5</t>
        </is>
      </c>
      <c r="C82" s="25">
        <f>IFERROR(VLOOKUP(B82,Referensi!$A$5:$B$10,2,FALSE),"")</f>
        <v/>
      </c>
      <c r="D82" s="9" t="inlineStr">
        <is>
          <t>US-61</t>
        </is>
      </c>
      <c r="E82" s="7" t="inlineStr">
        <is>
          <t>Panduan pengguna</t>
        </is>
      </c>
      <c r="F82" s="10" t="inlineStr">
        <is>
          <t>Chore</t>
        </is>
      </c>
      <c r="G82" s="10" t="inlineStr">
        <is>
          <t>PM/BA</t>
        </is>
      </c>
      <c r="H82" s="10" t="inlineStr">
        <is>
          <t>Zaky</t>
        </is>
      </c>
      <c r="I82" s="10" t="inlineStr">
        <is>
          <t>S8</t>
        </is>
      </c>
      <c r="J82" s="33" t="n">
        <v>5</v>
      </c>
      <c r="K82" s="10" t="inlineStr">
        <is>
          <t>Must</t>
        </is>
      </c>
      <c r="L82" s="9" t="inlineStr">
        <is>
          <t>To Do</t>
        </is>
      </c>
      <c r="M82" s="34">
        <f>IFERROR(VLOOKUP(I82,Referensi!$F$5:$G$13,2,FALSE),"")</f>
        <v/>
      </c>
      <c r="N82" s="8" t="n"/>
      <c r="O82" s="35" t="inlineStr"/>
    </row>
    <row r="83" ht="22" customHeight="1">
      <c r="A83" s="8" t="n">
        <v>79</v>
      </c>
      <c r="B83" s="9" t="inlineStr">
        <is>
          <t>Fase 5</t>
        </is>
      </c>
      <c r="C83" s="25">
        <f>IFERROR(VLOOKUP(B83,Referensi!$A$5:$B$10,2,FALSE),"")</f>
        <v/>
      </c>
      <c r="D83" s="9" t="inlineStr">
        <is>
          <t>US-62</t>
        </is>
      </c>
      <c r="E83" s="7" t="inlineStr">
        <is>
          <t>Dokumentasi teknis</t>
        </is>
      </c>
      <c r="F83" s="10" t="inlineStr">
        <is>
          <t>Chore</t>
        </is>
      </c>
      <c r="G83" s="10" t="inlineStr">
        <is>
          <t>PM/BA</t>
        </is>
      </c>
      <c r="H83" s="10" t="inlineStr">
        <is>
          <t>Zaky</t>
        </is>
      </c>
      <c r="I83" s="10" t="inlineStr">
        <is>
          <t>S8</t>
        </is>
      </c>
      <c r="J83" s="33" t="n">
        <v>5</v>
      </c>
      <c r="K83" s="10" t="inlineStr">
        <is>
          <t>Must</t>
        </is>
      </c>
      <c r="L83" s="9" t="inlineStr">
        <is>
          <t>To Do</t>
        </is>
      </c>
      <c r="M83" s="34">
        <f>IFERROR(VLOOKUP(I83,Referensi!$F$5:$G$13,2,FALSE),"")</f>
        <v/>
      </c>
      <c r="N83" s="8" t="n"/>
      <c r="O83" s="35" t="inlineStr"/>
    </row>
    <row r="84" ht="22" customHeight="1">
      <c r="A84" s="8" t="n">
        <v>80</v>
      </c>
      <c r="B84" s="9" t="inlineStr">
        <is>
          <t>Fase 5</t>
        </is>
      </c>
      <c r="C84" s="25">
        <f>IFERROR(VLOOKUP(B84,Referensi!$A$5:$B$10,2,FALSE),"")</f>
        <v/>
      </c>
      <c r="D84" s="9" t="inlineStr">
        <is>
          <t>UAT-06</t>
        </is>
      </c>
      <c r="E84" s="7" t="inlineStr">
        <is>
          <t>Verifikasi metrik utama: 2–3 hari → 2–3 jam</t>
        </is>
      </c>
      <c r="F84" s="10" t="inlineStr">
        <is>
          <t>Chore</t>
        </is>
      </c>
      <c r="G84" s="10" t="inlineStr">
        <is>
          <t>PM/BA</t>
        </is>
      </c>
      <c r="H84" s="10" t="inlineStr">
        <is>
          <t>Zaky</t>
        </is>
      </c>
      <c r="I84" s="10" t="inlineStr">
        <is>
          <t>S8</t>
        </is>
      </c>
      <c r="J84" s="33" t="n">
        <v>3</v>
      </c>
      <c r="K84" s="10" t="inlineStr">
        <is>
          <t>Must</t>
        </is>
      </c>
      <c r="L84" s="9" t="inlineStr">
        <is>
          <t>To Do</t>
        </is>
      </c>
      <c r="M84" s="34">
        <f>IFERROR(VLOOKUP(I84,Referensi!$F$5:$G$13,2,FALSE),"")</f>
        <v/>
      </c>
      <c r="N84" s="8" t="n"/>
      <c r="O84" s="35" t="inlineStr">
        <is>
          <t>Pengujian yang paling berarti bagi mitra</t>
        </is>
      </c>
    </row>
    <row r="85">
      <c r="A85" s="7">
        <f>IF(E85="","",ROW()-4)</f>
        <v/>
      </c>
      <c r="B85" s="7" t="n"/>
      <c r="C85" s="7">
        <f>IFERROR(VLOOKUP(B85,Referensi!$A$5:$B$10,2,FALSE),"")</f>
        <v/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36">
        <f>IFERROR(VLOOKUP(I85,Referensi!$F$5:$G$13,2,FALSE),"")</f>
        <v/>
      </c>
      <c r="N85" s="7" t="n"/>
      <c r="O85" s="7" t="n"/>
    </row>
    <row r="86">
      <c r="A86" s="7">
        <f>IF(E86="","",ROW()-4)</f>
        <v/>
      </c>
      <c r="B86" s="7" t="n"/>
      <c r="C86" s="7">
        <f>IFERROR(VLOOKUP(B86,Referensi!$A$5:$B$10,2,FALSE),"")</f>
        <v/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36">
        <f>IFERROR(VLOOKUP(I86,Referensi!$F$5:$G$13,2,FALSE),"")</f>
        <v/>
      </c>
      <c r="N86" s="7" t="n"/>
      <c r="O86" s="7" t="n"/>
    </row>
    <row r="87">
      <c r="A87" s="7">
        <f>IF(E87="","",ROW()-4)</f>
        <v/>
      </c>
      <c r="B87" s="7" t="n"/>
      <c r="C87" s="7">
        <f>IFERROR(VLOOKUP(B87,Referensi!$A$5:$B$10,2,FALSE),"")</f>
        <v/>
      </c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36">
        <f>IFERROR(VLOOKUP(I87,Referensi!$F$5:$G$13,2,FALSE),"")</f>
        <v/>
      </c>
      <c r="N87" s="7" t="n"/>
      <c r="O87" s="7" t="n"/>
    </row>
    <row r="88">
      <c r="A88" s="7">
        <f>IF(E88="","",ROW()-4)</f>
        <v/>
      </c>
      <c r="B88" s="7" t="n"/>
      <c r="C88" s="7">
        <f>IFERROR(VLOOKUP(B88,Referensi!$A$5:$B$10,2,FALSE),"")</f>
        <v/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36">
        <f>IFERROR(VLOOKUP(I88,Referensi!$F$5:$G$13,2,FALSE),"")</f>
        <v/>
      </c>
      <c r="N88" s="7" t="n"/>
      <c r="O88" s="7" t="n"/>
    </row>
    <row r="89">
      <c r="A89" s="7">
        <f>IF(E89="","",ROW()-4)</f>
        <v/>
      </c>
      <c r="B89" s="7" t="n"/>
      <c r="C89" s="7">
        <f>IFERROR(VLOOKUP(B89,Referensi!$A$5:$B$10,2,FALSE),"")</f>
        <v/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36">
        <f>IFERROR(VLOOKUP(I89,Referensi!$F$5:$G$13,2,FALSE),"")</f>
        <v/>
      </c>
      <c r="N89" s="7" t="n"/>
      <c r="O89" s="7" t="n"/>
    </row>
    <row r="90">
      <c r="A90" s="7">
        <f>IF(E90="","",ROW()-4)</f>
        <v/>
      </c>
      <c r="B90" s="7" t="n"/>
      <c r="C90" s="7">
        <f>IFERROR(VLOOKUP(B90,Referensi!$A$5:$B$10,2,FALSE),"")</f>
        <v/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36">
        <f>IFERROR(VLOOKUP(I90,Referensi!$F$5:$G$13,2,FALSE),"")</f>
        <v/>
      </c>
      <c r="N90" s="7" t="n"/>
      <c r="O90" s="7" t="n"/>
    </row>
    <row r="91">
      <c r="A91" s="7">
        <f>IF(E91="","",ROW()-4)</f>
        <v/>
      </c>
      <c r="B91" s="7" t="n"/>
      <c r="C91" s="7">
        <f>IFERROR(VLOOKUP(B91,Referensi!$A$5:$B$10,2,FALSE),"")</f>
        <v/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36">
        <f>IFERROR(VLOOKUP(I91,Referensi!$F$5:$G$13,2,FALSE),"")</f>
        <v/>
      </c>
      <c r="N91" s="7" t="n"/>
      <c r="O91" s="7" t="n"/>
    </row>
    <row r="92">
      <c r="A92" s="7">
        <f>IF(E92="","",ROW()-4)</f>
        <v/>
      </c>
      <c r="B92" s="7" t="n"/>
      <c r="C92" s="7">
        <f>IFERROR(VLOOKUP(B92,Referensi!$A$5:$B$10,2,FALSE),"")</f>
        <v/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36">
        <f>IFERROR(VLOOKUP(I92,Referensi!$F$5:$G$13,2,FALSE),"")</f>
        <v/>
      </c>
      <c r="N92" s="7" t="n"/>
      <c r="O92" s="7" t="n"/>
    </row>
    <row r="93">
      <c r="A93" s="7">
        <f>IF(E93="","",ROW()-4)</f>
        <v/>
      </c>
      <c r="B93" s="7" t="n"/>
      <c r="C93" s="7">
        <f>IFERROR(VLOOKUP(B93,Referensi!$A$5:$B$10,2,FALSE),"")</f>
        <v/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36">
        <f>IFERROR(VLOOKUP(I93,Referensi!$F$5:$G$13,2,FALSE),"")</f>
        <v/>
      </c>
      <c r="N93" s="7" t="n"/>
      <c r="O93" s="7" t="n"/>
    </row>
    <row r="94">
      <c r="A94" s="7">
        <f>IF(E94="","",ROW()-4)</f>
        <v/>
      </c>
      <c r="B94" s="7" t="n"/>
      <c r="C94" s="7">
        <f>IFERROR(VLOOKUP(B94,Referensi!$A$5:$B$10,2,FALSE),"")</f>
        <v/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36">
        <f>IFERROR(VLOOKUP(I94,Referensi!$F$5:$G$13,2,FALSE),"")</f>
        <v/>
      </c>
      <c r="N94" s="7" t="n"/>
      <c r="O94" s="7" t="n"/>
    </row>
  </sheetData>
  <autoFilter ref="A4:O94"/>
  <conditionalFormatting sqref="L5:L94">
    <cfRule type="cellIs" priority="1" operator="equal" dxfId="0">
      <formula>"To Do"</formula>
    </cfRule>
    <cfRule type="cellIs" priority="2" operator="equal" dxfId="1">
      <formula>"In Progress"</formula>
    </cfRule>
    <cfRule type="cellIs" priority="3" operator="equal" dxfId="2">
      <formula>"In Review / Testing"</formula>
    </cfRule>
    <cfRule type="cellIs" priority="4" operator="equal" dxfId="3">
      <formula>"Done"</formula>
    </cfRule>
    <cfRule type="cellIs" priority="5" operator="equal" dxfId="4">
      <formula>"Blocked"</formula>
    </cfRule>
  </conditionalFormatting>
  <conditionalFormatting sqref="K5:K94">
    <cfRule type="cellIs" priority="6" operator="equal" dxfId="5">
      <formula>"Must"</formula>
    </cfRule>
    <cfRule type="cellIs" priority="7" operator="equal" dxfId="6">
      <formula>"Should"</formula>
    </cfRule>
    <cfRule type="cellIs" priority="8" operator="equal" dxfId="7">
      <formula>"Could"</formula>
    </cfRule>
    <cfRule type="cellIs" priority="9" operator="equal" dxfId="8">
      <formula>"Won't"</formula>
    </cfRule>
  </conditionalFormatting>
  <conditionalFormatting sqref="B5:B94">
    <cfRule type="cellIs" priority="10" operator="equal" dxfId="9">
      <formula>"Fase 0"</formula>
    </cfRule>
    <cfRule type="cellIs" priority="11" operator="equal" dxfId="10">
      <formula>"Fase 1"</formula>
    </cfRule>
    <cfRule type="cellIs" priority="12" operator="equal" dxfId="11">
      <formula>"Fase 2"</formula>
    </cfRule>
    <cfRule type="cellIs" priority="13" operator="equal" dxfId="12">
      <formula>"Fase 3"</formula>
    </cfRule>
    <cfRule type="cellIs" priority="14" operator="equal" dxfId="13">
      <formula>"Fase 4"</formula>
    </cfRule>
    <cfRule type="cellIs" priority="15" operator="equal" dxfId="14">
      <formula>"Fase 5"</formula>
    </cfRule>
  </conditionalFormatting>
  <conditionalFormatting sqref="A5:O94">
    <cfRule type="expression" priority="16" dxfId="15">
      <formula>$L5="Done"</formula>
    </cfRule>
  </conditionalFormatting>
  <conditionalFormatting sqref="M5:M94">
    <cfRule type="expression" priority="17" dxfId="16">
      <formula>AND(ISNUMBER($M5),$M5&lt;TODAY(),$L5&lt;&gt;"Done")</formula>
    </cfRule>
  </conditionalFormatting>
  <dataValidations count="7">
    <dataValidation sqref="B5:B94" showDropDown="0" showInputMessage="0" showErrorMessage="0" allowBlank="1" errorTitle="Nilai tidak dikenal" error="Pilih dari daftar" type="list">
      <formula1>=Referensi!$A$5:$A$10</formula1>
    </dataValidation>
    <dataValidation sqref="F5:F94" showDropDown="0" showInputMessage="0" showErrorMessage="0" allowBlank="1" errorTitle="Nilai tidak dikenal" error="Pilih dari daftar" type="list">
      <formula1>=Referensi!$K$5:$K$9</formula1>
    </dataValidation>
    <dataValidation sqref="G5:G94" showDropDown="0" showInputMessage="0" showErrorMessage="0" allowBlank="1" errorTitle="Nilai tidak dikenal" error="Pilih dari daftar" type="list">
      <formula1>=Referensi!$L$5:$L$10</formula1>
    </dataValidation>
    <dataValidation sqref="H5:H94" showDropDown="0" showInputMessage="0" showErrorMessage="0" allowBlank="1" errorTitle="Nilai tidak dikenal" error="Pilih dari daftar" type="list">
      <formula1>=Referensi!$M$5:$M$11</formula1>
    </dataValidation>
    <dataValidation sqref="I5:I94" showDropDown="0" showInputMessage="0" showErrorMessage="0" allowBlank="1" errorTitle="Nilai tidak dikenal" error="Pilih dari daftar" type="list">
      <formula1>=Referensi!$F$5:$F$13</formula1>
    </dataValidation>
    <dataValidation sqref="K5:K94" showDropDown="0" showInputMessage="0" showErrorMessage="0" allowBlank="1" errorTitle="Nilai tidak dikenal" error="Pilih dari daftar" type="list">
      <formula1>=Referensi!$J$5:$J$8</formula1>
    </dataValidation>
    <dataValidation sqref="L5:L94" showDropDown="0" showInputMessage="0" showErrorMessage="0" allowBlank="1" errorTitle="Nilai tidak dikenal" error="Pilih dari daftar" type="list">
      <formula1>=Referensi!$I$5:$I$9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62" customWidth="1" min="4" max="4"/>
    <col width="12" customWidth="1" min="5" max="5"/>
    <col width="40" customWidth="1" min="6" max="6"/>
  </cols>
  <sheetData>
    <row r="1" ht="26" customHeight="1">
      <c r="A1" s="1" t="inlineStr">
        <is>
          <t>MILESTONE &amp; INDIKATOR KEBERHASILAN</t>
        </is>
      </c>
    </row>
    <row r="2">
      <c r="A2" s="2" t="inlineStr">
        <is>
          <t>Indikator per fase sesuai URD mitra. Ubah kolom Status saat ada bukti; isi kolom Bukti dengan tautan atau nomor issue.</t>
        </is>
      </c>
    </row>
    <row r="4" ht="34" customHeight="1">
      <c r="A4" s="5" t="inlineStr">
        <is>
          <t>Fase</t>
        </is>
      </c>
      <c r="B4" s="5" t="inlineStr">
        <is>
          <t>Milestone</t>
        </is>
      </c>
      <c r="C4" s="5" t="inlineStr">
        <is>
          <t>Periode</t>
        </is>
      </c>
      <c r="D4" s="5" t="inlineStr">
        <is>
          <t>Indikator Keberhasilan</t>
        </is>
      </c>
      <c r="E4" s="5" t="inlineStr">
        <is>
          <t>Status</t>
        </is>
      </c>
      <c r="F4" s="5" t="inlineStr">
        <is>
          <t>Bukti / Catatan</t>
        </is>
      </c>
    </row>
    <row r="5" ht="30" customHeight="1">
      <c r="A5" s="9" t="inlineStr">
        <is>
          <t>Fase 0</t>
        </is>
      </c>
      <c r="B5" s="7" t="inlineStr">
        <is>
          <t>Inception &amp; Setup</t>
        </is>
      </c>
      <c r="C5" s="8" t="inlineStr">
        <is>
          <t>31 Aug – 13 Sep 2026</t>
        </is>
      </c>
      <c r="D5" s="7" t="inlineStr">
        <is>
          <t>Dokumen requirement &amp; arsitektur disetujui stakeholder</t>
        </is>
      </c>
      <c r="E5" s="9" t="inlineStr">
        <is>
          <t>Sebagian</t>
        </is>
      </c>
      <c r="F5" s="35" t="n"/>
    </row>
    <row r="6" ht="30" customHeight="1">
      <c r="A6" s="9" t="inlineStr">
        <is>
          <t>Fase 0</t>
        </is>
      </c>
      <c r="B6" s="7" t="inlineStr">
        <is>
          <t>Inception &amp; Setup</t>
        </is>
      </c>
      <c r="C6" s="8" t="inlineStr">
        <is>
          <t>31 Aug – 13 Sep 2026</t>
        </is>
      </c>
      <c r="D6" s="7" t="inlineStr">
        <is>
          <t>Infrastruktur dasar (server/storage/repository) siap digunakan</t>
        </is>
      </c>
      <c r="E6" s="9" t="inlineStr">
        <is>
          <t>Belum</t>
        </is>
      </c>
      <c r="F6" s="35" t="n"/>
    </row>
    <row r="7" ht="30" customHeight="1">
      <c r="A7" s="9" t="inlineStr">
        <is>
          <t>Fase 0</t>
        </is>
      </c>
      <c r="B7" s="7" t="inlineStr">
        <is>
          <t>Inception &amp; Setup</t>
        </is>
      </c>
      <c r="C7" s="8" t="inlineStr">
        <is>
          <t>31 Aug – 13 Sep 2026</t>
        </is>
      </c>
      <c r="D7" s="7" t="inlineStr">
        <is>
          <t>Struktur folder knowledge base awal (skeleton) tersedia</t>
        </is>
      </c>
      <c r="E7" s="9" t="inlineStr">
        <is>
          <t>Belum</t>
        </is>
      </c>
      <c r="F7" s="35" t="n"/>
    </row>
    <row r="8" ht="30" customHeight="1">
      <c r="A8" s="9" t="inlineStr">
        <is>
          <t>Fase 1</t>
        </is>
      </c>
      <c r="B8" s="7" t="inlineStr">
        <is>
          <t>MVP Scraping &amp; Ingest</t>
        </is>
      </c>
      <c r="C8" s="8" t="inlineStr">
        <is>
          <t>14 Sep – 11 Oct 2026</t>
        </is>
      </c>
      <c r="D8" s="7" t="inlineStr">
        <is>
          <t>Berhasil menarik dokumen dari minimal 3 situs sumber yang diinput manual</t>
        </is>
      </c>
      <c r="E8" s="9" t="inlineStr">
        <is>
          <t>Belum</t>
        </is>
      </c>
      <c r="F8" s="35" t="n"/>
    </row>
    <row r="9" ht="30" customHeight="1">
      <c r="A9" s="9" t="inlineStr">
        <is>
          <t>Fase 1</t>
        </is>
      </c>
      <c r="B9" s="7" t="inlineStr">
        <is>
          <t>MVP Scraping &amp; Ingest</t>
        </is>
      </c>
      <c r="C9" s="8" t="inlineStr">
        <is>
          <t>14 Sep – 11 Oct 2026</t>
        </is>
      </c>
      <c r="D9" s="7" t="inlineStr">
        <is>
          <t>Fitur unggah manual berfungsi untuk dokumen PDF</t>
        </is>
      </c>
      <c r="E9" s="9" t="inlineStr">
        <is>
          <t>Belum</t>
        </is>
      </c>
      <c r="F9" s="35" t="n"/>
    </row>
    <row r="10" ht="30" customHeight="1">
      <c r="A10" s="9" t="inlineStr">
        <is>
          <t>Fase 1</t>
        </is>
      </c>
      <c r="B10" s="7" t="inlineStr">
        <is>
          <t>MVP Scraping &amp; Ingest</t>
        </is>
      </c>
      <c r="C10" s="8" t="inlineStr">
        <is>
          <t>14 Sep – 11 Oct 2026</t>
        </is>
      </c>
      <c r="D10" s="7" t="inlineStr">
        <is>
          <t>Sistem berhasil membaca minimal 1 folder lokal (OneDrive digeser ke Fase 2)</t>
        </is>
      </c>
      <c r="E10" s="9" t="inlineStr">
        <is>
          <t>Belum</t>
        </is>
      </c>
      <c r="F10" s="35" t="n"/>
    </row>
    <row r="11" ht="30" customHeight="1">
      <c r="A11" s="9" t="inlineStr">
        <is>
          <t>Fase 1</t>
        </is>
      </c>
      <c r="B11" s="7" t="inlineStr">
        <is>
          <t>MVP Scraping &amp; Ingest</t>
        </is>
      </c>
      <c r="C11" s="8" t="inlineStr">
        <is>
          <t>14 Sep – 11 Oct 2026</t>
        </is>
      </c>
      <c r="D11" s="7" t="inlineStr">
        <is>
          <t>Minimal 20 dokumen peraturan masuk knowledge base (mode Deterministik)</t>
        </is>
      </c>
      <c r="E11" s="9" t="inlineStr">
        <is>
          <t>Belum</t>
        </is>
      </c>
      <c r="F11" s="35" t="n"/>
    </row>
    <row r="12" ht="30" customHeight="1">
      <c r="A12" s="9" t="inlineStr">
        <is>
          <t>Fase 1</t>
        </is>
      </c>
      <c r="B12" s="7" t="inlineStr">
        <is>
          <t>MVP Scraping &amp; Ingest</t>
        </is>
      </c>
      <c r="C12" s="8" t="inlineStr">
        <is>
          <t>14 Sep – 11 Oct 2026</t>
        </is>
      </c>
      <c r="D12" s="7" t="inlineStr">
        <is>
          <t>Aplikasi dapat dicoba langsung oleh mitra pada 8 Oktober 2026</t>
        </is>
      </c>
      <c r="E12" s="9" t="inlineStr">
        <is>
          <t>Belum</t>
        </is>
      </c>
      <c r="F12" s="35" t="n"/>
    </row>
    <row r="13" ht="30" customHeight="1">
      <c r="A13" s="9" t="inlineStr">
        <is>
          <t>Fase 2</t>
        </is>
      </c>
      <c r="B13" s="7" t="inlineStr">
        <is>
          <t>MVP Analisa &amp; Summary</t>
        </is>
      </c>
      <c r="C13" s="8" t="inlineStr">
        <is>
          <t>12 Oct – 08 Nov 2026</t>
        </is>
      </c>
      <c r="D13" s="7" t="inlineStr">
        <is>
          <t>Summary &amp; Key Takeaways dihasilkan untuk minimal 10 dokumen uji</t>
        </is>
      </c>
      <c r="E13" s="9" t="inlineStr">
        <is>
          <t>Belum</t>
        </is>
      </c>
      <c r="F13" s="35" t="n"/>
    </row>
    <row r="14" ht="30" customHeight="1">
      <c r="A14" s="9" t="inlineStr">
        <is>
          <t>Fase 2</t>
        </is>
      </c>
      <c r="B14" s="7" t="inlineStr">
        <is>
          <t>MVP Analisa &amp; Summary</t>
        </is>
      </c>
      <c r="C14" s="8" t="inlineStr">
        <is>
          <t>12 Oct – 08 Nov 2026</t>
        </is>
      </c>
      <c r="D14" s="7" t="inlineStr">
        <is>
          <t>Waktu proses summary per dokumen di bawah 5 menit pada mode Deterministik</t>
        </is>
      </c>
      <c r="E14" s="9" t="inlineStr">
        <is>
          <t>Belum</t>
        </is>
      </c>
      <c r="F14" s="35" t="n"/>
    </row>
    <row r="15" ht="30" customHeight="1">
      <c r="A15" s="9" t="inlineStr">
        <is>
          <t>Fase 2</t>
        </is>
      </c>
      <c r="B15" s="7" t="inlineStr">
        <is>
          <t>MVP Analisa &amp; Summary</t>
        </is>
      </c>
      <c r="C15" s="8" t="inlineStr">
        <is>
          <t>12 Oct – 08 Nov 2026</t>
        </is>
      </c>
      <c r="D15" s="7" t="inlineStr">
        <is>
          <t>Mode AI-Assisted dapat diaktifkan/nonaktifkan dengan narasi lebih natural</t>
        </is>
      </c>
      <c r="E15" s="9" t="inlineStr">
        <is>
          <t>Belum</t>
        </is>
      </c>
      <c r="F15" s="35" t="n"/>
    </row>
    <row r="16" ht="30" customHeight="1">
      <c r="A16" s="9" t="inlineStr">
        <is>
          <t>Fase 3</t>
        </is>
      </c>
      <c r="B16" s="7" t="inlineStr">
        <is>
          <t>MVP Harmonisasi</t>
        </is>
      </c>
      <c r="C16" s="8" t="inlineStr">
        <is>
          <t>09 Nov – 29 Nov 2026</t>
        </is>
      </c>
      <c r="D16" s="7" t="inlineStr">
        <is>
          <t>Berhasil membandingkan minimal 5 pasang dokumen (draft vs eksisting)</t>
        </is>
      </c>
      <c r="E16" s="9" t="inlineStr">
        <is>
          <t>Belum</t>
        </is>
      </c>
      <c r="F16" s="35" t="n"/>
    </row>
    <row r="17" ht="30" customHeight="1">
      <c r="A17" s="9" t="inlineStr">
        <is>
          <t>Fase 3</t>
        </is>
      </c>
      <c r="B17" s="7" t="inlineStr">
        <is>
          <t>MVP Harmonisasi</t>
        </is>
      </c>
      <c r="C17" s="8" t="inlineStr">
        <is>
          <t>09 Nov – 29 Nov 2026</t>
        </is>
      </c>
      <c r="D17" s="7" t="inlineStr">
        <is>
          <t>Minimal 70% potensi temuan terdeteksi — validasi sampling manual DPEA</t>
        </is>
      </c>
      <c r="E17" s="9" t="inlineStr">
        <is>
          <t>Belum</t>
        </is>
      </c>
      <c r="F17" s="35" t="n"/>
    </row>
    <row r="18" ht="30" customHeight="1">
      <c r="A18" s="9" t="inlineStr">
        <is>
          <t>Fase 4</t>
        </is>
      </c>
      <c r="B18" s="7" t="inlineStr">
        <is>
          <t>MVP Tanggapan PoV</t>
        </is>
      </c>
      <c r="C18" s="8" t="inlineStr">
        <is>
          <t>30 Nov – 13 Dec 2026</t>
        </is>
      </c>
      <c r="D18" s="7" t="inlineStr">
        <is>
          <t>Draft tanggapan tersusun untuk minimal 3 draft peraturan uji</t>
        </is>
      </c>
      <c r="E18" s="9" t="inlineStr">
        <is>
          <t>Belum</t>
        </is>
      </c>
      <c r="F18" s="35" t="n"/>
    </row>
    <row r="19" ht="30" customHeight="1">
      <c r="A19" s="9" t="inlineStr">
        <is>
          <t>Fase 4</t>
        </is>
      </c>
      <c r="B19" s="7" t="inlineStr">
        <is>
          <t>MVP Tanggapan PoV</t>
        </is>
      </c>
      <c r="C19" s="8" t="inlineStr">
        <is>
          <t>30 Nov – 13 Dec 2026</t>
        </is>
      </c>
      <c r="D19" s="7" t="inlineStr">
        <is>
          <t>Template tanggapan sesuai format standar unit tervalidasi pilot user</t>
        </is>
      </c>
      <c r="E19" s="9" t="inlineStr">
        <is>
          <t>Belum</t>
        </is>
      </c>
      <c r="F19" s="35" t="n"/>
    </row>
    <row r="20" ht="30" customHeight="1">
      <c r="A20" s="9" t="inlineStr">
        <is>
          <t>Fase 5</t>
        </is>
      </c>
      <c r="B20" s="7" t="inlineStr">
        <is>
          <t>Stabilisasi &amp; UAT</t>
        </is>
      </c>
      <c r="C20" s="8" t="inlineStr">
        <is>
          <t>14 Dec – 24 Dec 2026</t>
        </is>
      </c>
      <c r="D20" s="7" t="inlineStr">
        <is>
          <t>Keempat fitur utama lulus UAT dengan minimal 1 pilot user per fitur</t>
        </is>
      </c>
      <c r="E20" s="9" t="inlineStr">
        <is>
          <t>Belum</t>
        </is>
      </c>
      <c r="F20" s="35" t="n"/>
    </row>
    <row r="21" ht="30" customHeight="1">
      <c r="A21" s="9" t="inlineStr">
        <is>
          <t>Fase 5</t>
        </is>
      </c>
      <c r="B21" s="7" t="inlineStr">
        <is>
          <t>Stabilisasi &amp; UAT</t>
        </is>
      </c>
      <c r="C21" s="8" t="inlineStr">
        <is>
          <t>14 Dec – 24 Dec 2026</t>
        </is>
      </c>
      <c r="D21" s="7" t="inlineStr">
        <is>
          <t>Dokumentasi teknis &amp; panduan pengguna selesai 100%</t>
        </is>
      </c>
      <c r="E21" s="9" t="inlineStr">
        <is>
          <t>Belum</t>
        </is>
      </c>
      <c r="F21" s="35" t="n"/>
    </row>
    <row r="22" ht="30" customHeight="1">
      <c r="A22" s="9" t="inlineStr">
        <is>
          <t>Fase 5</t>
        </is>
      </c>
      <c r="B22" s="7" t="inlineStr">
        <is>
          <t>Stabilisasi &amp; UAT</t>
        </is>
      </c>
      <c r="C22" s="8" t="inlineStr">
        <is>
          <t>14 Dec – 24 Dec 2026</t>
        </is>
      </c>
      <c r="D22" s="7" t="inlineStr">
        <is>
          <t>Sistem berjalan penuh pada mode Deterministik tanpa AI (fallback test)</t>
        </is>
      </c>
      <c r="E22" s="9" t="inlineStr">
        <is>
          <t>Belum</t>
        </is>
      </c>
      <c r="F22" s="35" t="n"/>
    </row>
  </sheetData>
  <conditionalFormatting sqref="E5:E22">
    <cfRule type="cellIs" priority="1" operator="equal" dxfId="17">
      <formula>"Belum"</formula>
    </cfRule>
    <cfRule type="cellIs" priority="2" operator="equal" dxfId="12">
      <formula>"Sebagian"</formula>
    </cfRule>
    <cfRule type="cellIs" priority="3" operator="equal" dxfId="11">
      <formula>"Tercapai"</formula>
    </cfRule>
  </conditionalFormatting>
  <conditionalFormatting sqref="A5:A22">
    <cfRule type="cellIs" priority="4" operator="equal" dxfId="9">
      <formula>"Fase 0"</formula>
    </cfRule>
    <cfRule type="cellIs" priority="5" operator="equal" dxfId="10">
      <formula>"Fase 1"</formula>
    </cfRule>
    <cfRule type="cellIs" priority="6" operator="equal" dxfId="11">
      <formula>"Fase 2"</formula>
    </cfRule>
    <cfRule type="cellIs" priority="7" operator="equal" dxfId="12">
      <formula>"Fase 3"</formula>
    </cfRule>
    <cfRule type="cellIs" priority="8" operator="equal" dxfId="13">
      <formula>"Fase 4"</formula>
    </cfRule>
    <cfRule type="cellIs" priority="9" operator="equal" dxfId="14">
      <formula>"Fase 5"</formula>
    </cfRule>
  </conditionalFormatting>
  <dataValidations count="1">
    <dataValidation sqref="E5:E22" showDropDown="0" showInputMessage="0" showErrorMessage="0" allowBlank="1" type="list">
      <formula1>=Referensi!$N$5:$N$7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3" customWidth="1" min="4" max="4"/>
    <col width="2" customWidth="1" min="5" max="5"/>
    <col width="9" customWidth="1" min="6" max="6"/>
    <col width="13" customWidth="1" min="7" max="7"/>
    <col width="2" customWidth="1" min="8" max="8"/>
    <col width="20" customWidth="1" min="9" max="9"/>
    <col width="11" customWidth="1" min="10" max="10"/>
    <col width="14" customWidth="1" min="11" max="11"/>
    <col width="11" customWidth="1" min="12" max="12"/>
    <col width="16" customWidth="1" min="13" max="13"/>
    <col width="16" customWidth="1" min="14" max="14"/>
  </cols>
  <sheetData>
    <row r="1" ht="26" customHeight="1">
      <c r="A1" s="1" t="inlineStr">
        <is>
          <t>REFERENSI</t>
        </is>
      </c>
    </row>
    <row r="2">
      <c r="A2" s="2" t="inlineStr">
        <is>
          <t>Daftar pilihan dropdown. Ubah di sini bila perlu menambah opsi — seluruh dropdown ikut berubah.</t>
        </is>
      </c>
    </row>
    <row r="4" ht="30" customHeight="1">
      <c r="A4" s="5" t="inlineStr">
        <is>
          <t>Fase</t>
        </is>
      </c>
      <c r="B4" s="5" t="inlineStr">
        <is>
          <t>Milestone</t>
        </is>
      </c>
      <c r="C4" s="5" t="inlineStr">
        <is>
          <t>Mulai</t>
        </is>
      </c>
      <c r="D4" s="5" t="inlineStr">
        <is>
          <t>Selesai</t>
        </is>
      </c>
      <c r="F4" s="5" t="inlineStr">
        <is>
          <t>Sprint</t>
        </is>
      </c>
      <c r="G4" s="5" t="inlineStr">
        <is>
          <t>Berakhir</t>
        </is>
      </c>
      <c r="I4" s="5" t="inlineStr">
        <is>
          <t>Status</t>
        </is>
      </c>
      <c r="J4" s="5" t="inlineStr">
        <is>
          <t>Prioritas</t>
        </is>
      </c>
      <c r="K4" s="5" t="inlineStr">
        <is>
          <t>Tipe</t>
        </is>
      </c>
      <c r="L4" s="5" t="inlineStr">
        <is>
          <t>Peran</t>
        </is>
      </c>
      <c r="M4" s="5" t="inlineStr">
        <is>
          <t>PIC</t>
        </is>
      </c>
      <c r="N4" s="5" t="inlineStr">
        <is>
          <t>Status Indikator</t>
        </is>
      </c>
    </row>
    <row r="5">
      <c r="A5" s="23" t="inlineStr">
        <is>
          <t>Fase 0</t>
        </is>
      </c>
      <c r="B5" s="7" t="inlineStr">
        <is>
          <t>Inception &amp; Setup</t>
        </is>
      </c>
      <c r="C5" s="37" t="n">
        <v>46265</v>
      </c>
      <c r="D5" s="37" t="n">
        <v>46278</v>
      </c>
      <c r="F5" s="9" t="inlineStr">
        <is>
          <t>S0</t>
        </is>
      </c>
      <c r="G5" s="37" t="n">
        <v>46278</v>
      </c>
      <c r="I5" s="10" t="inlineStr">
        <is>
          <t>To Do</t>
        </is>
      </c>
      <c r="J5" s="10" t="inlineStr">
        <is>
          <t>Must</t>
        </is>
      </c>
      <c r="K5" s="10" t="inlineStr">
        <is>
          <t>User Story</t>
        </is>
      </c>
      <c r="L5" s="10" t="inlineStr">
        <is>
          <t>PM/BA</t>
        </is>
      </c>
      <c r="M5" s="10" t="inlineStr">
        <is>
          <t>Zaky</t>
        </is>
      </c>
      <c r="N5" s="10" t="inlineStr">
        <is>
          <t>Belum</t>
        </is>
      </c>
    </row>
    <row r="6">
      <c r="A6" s="23" t="inlineStr">
        <is>
          <t>Fase 1</t>
        </is>
      </c>
      <c r="B6" s="7" t="inlineStr">
        <is>
          <t>MVP Scraping &amp; Ingest</t>
        </is>
      </c>
      <c r="C6" s="37" t="n">
        <v>46279</v>
      </c>
      <c r="D6" s="37" t="n">
        <v>46306</v>
      </c>
      <c r="F6" s="9" t="inlineStr">
        <is>
          <t>S1</t>
        </is>
      </c>
      <c r="G6" s="37" t="n">
        <v>46292</v>
      </c>
      <c r="I6" s="10" t="inlineStr">
        <is>
          <t>In Progress</t>
        </is>
      </c>
      <c r="J6" s="10" t="inlineStr">
        <is>
          <t>Should</t>
        </is>
      </c>
      <c r="K6" s="10" t="inlineStr">
        <is>
          <t>Spike</t>
        </is>
      </c>
      <c r="L6" s="10" t="inlineStr">
        <is>
          <t>Backend</t>
        </is>
      </c>
      <c r="M6" s="10" t="inlineStr">
        <is>
          <t>Rafli</t>
        </is>
      </c>
      <c r="N6" s="10" t="inlineStr">
        <is>
          <t>Sebagian</t>
        </is>
      </c>
    </row>
    <row r="7">
      <c r="A7" s="23" t="inlineStr">
        <is>
          <t>Fase 2</t>
        </is>
      </c>
      <c r="B7" s="7" t="inlineStr">
        <is>
          <t>MVP Analisa &amp; Summary</t>
        </is>
      </c>
      <c r="C7" s="37" t="n">
        <v>46307</v>
      </c>
      <c r="D7" s="37" t="n">
        <v>46334</v>
      </c>
      <c r="F7" s="9" t="inlineStr">
        <is>
          <t>S2</t>
        </is>
      </c>
      <c r="G7" s="37" t="n">
        <v>46306</v>
      </c>
      <c r="I7" s="10" t="inlineStr">
        <is>
          <t>In Review / Testing</t>
        </is>
      </c>
      <c r="J7" s="10" t="inlineStr">
        <is>
          <t>Could</t>
        </is>
      </c>
      <c r="K7" s="10" t="inlineStr">
        <is>
          <t>Chore</t>
        </is>
      </c>
      <c r="L7" s="10" t="inlineStr">
        <is>
          <t>Frontend</t>
        </is>
      </c>
      <c r="M7" s="10" t="inlineStr">
        <is>
          <t>Ikhwan</t>
        </is>
      </c>
      <c r="N7" s="10" t="inlineStr">
        <is>
          <t>Tercapai</t>
        </is>
      </c>
    </row>
    <row r="8">
      <c r="A8" s="23" t="inlineStr">
        <is>
          <t>Fase 3</t>
        </is>
      </c>
      <c r="B8" s="7" t="inlineStr">
        <is>
          <t>MVP Harmonisasi</t>
        </is>
      </c>
      <c r="C8" s="37" t="n">
        <v>46335</v>
      </c>
      <c r="D8" s="37" t="n">
        <v>46355</v>
      </c>
      <c r="F8" s="9" t="inlineStr">
        <is>
          <t>S3</t>
        </is>
      </c>
      <c r="G8" s="37" t="n">
        <v>46320</v>
      </c>
      <c r="I8" s="10" t="inlineStr">
        <is>
          <t>Done</t>
        </is>
      </c>
      <c r="J8" s="10" t="inlineStr">
        <is>
          <t>Won't</t>
        </is>
      </c>
      <c r="K8" s="10" t="inlineStr">
        <is>
          <t>Bug</t>
        </is>
      </c>
      <c r="L8" s="10" t="inlineStr">
        <is>
          <t>Data/ML</t>
        </is>
      </c>
      <c r="M8" s="10" t="inlineStr">
        <is>
          <t>Fathir</t>
        </is>
      </c>
    </row>
    <row r="9">
      <c r="A9" s="23" t="inlineStr">
        <is>
          <t>Fase 4</t>
        </is>
      </c>
      <c r="B9" s="7" t="inlineStr">
        <is>
          <t>MVP Tanggapan PoV</t>
        </is>
      </c>
      <c r="C9" s="37" t="n">
        <v>46356</v>
      </c>
      <c r="D9" s="37" t="n">
        <v>46369</v>
      </c>
      <c r="F9" s="9" t="inlineStr">
        <is>
          <t>S4</t>
        </is>
      </c>
      <c r="G9" s="37" t="n">
        <v>46334</v>
      </c>
      <c r="I9" s="10" t="inlineStr">
        <is>
          <t>Blocked</t>
        </is>
      </c>
      <c r="K9" s="10" t="inlineStr">
        <is>
          <t>Blocker Mitra</t>
        </is>
      </c>
      <c r="L9" s="10" t="inlineStr">
        <is>
          <t>Infra/QA</t>
        </is>
      </c>
      <c r="M9" s="10" t="inlineStr">
        <is>
          <t>Hamdan</t>
        </is>
      </c>
    </row>
    <row r="10">
      <c r="A10" s="23" t="inlineStr">
        <is>
          <t>Fase 5</t>
        </is>
      </c>
      <c r="B10" s="7" t="inlineStr">
        <is>
          <t>Stabilisasi &amp; UAT</t>
        </is>
      </c>
      <c r="C10" s="37" t="n">
        <v>46370</v>
      </c>
      <c r="D10" s="37" t="n">
        <v>46380</v>
      </c>
      <c r="F10" s="9" t="inlineStr">
        <is>
          <t>S5</t>
        </is>
      </c>
      <c r="G10" s="37" t="n">
        <v>46348</v>
      </c>
      <c r="L10" s="10" t="inlineStr">
        <is>
          <t>Mitra</t>
        </is>
      </c>
      <c r="M10" s="10" t="inlineStr">
        <is>
          <t>Faris (DPEA)</t>
        </is>
      </c>
    </row>
    <row r="11">
      <c r="F11" s="9" t="inlineStr">
        <is>
          <t>S6</t>
        </is>
      </c>
      <c r="G11" s="37" t="n">
        <v>46362</v>
      </c>
      <c r="M11" s="10" t="inlineStr">
        <is>
          <t>Andika (DPEA)</t>
        </is>
      </c>
    </row>
    <row r="12">
      <c r="F12" s="9" t="inlineStr">
        <is>
          <t>S7</t>
        </is>
      </c>
      <c r="G12" s="37" t="n">
        <v>46376</v>
      </c>
    </row>
    <row r="13">
      <c r="F13" s="9" t="inlineStr">
        <is>
          <t>S8</t>
        </is>
      </c>
      <c r="G13" s="37" t="n">
        <v>46380</v>
      </c>
    </row>
    <row r="17">
      <c r="A17" s="22" t="inlineStr">
        <is>
          <t>TIM</t>
        </is>
      </c>
    </row>
    <row r="18" ht="30" customHeight="1">
      <c r="A18" s="5" t="inlineStr">
        <is>
          <t>Nama</t>
        </is>
      </c>
      <c r="B18" s="5" t="inlineStr">
        <is>
          <t>Peran</t>
        </is>
      </c>
      <c r="C18" s="5" t="inlineStr">
        <is>
          <t>GitHub</t>
        </is>
      </c>
      <c r="D18" s="5" t="inlineStr">
        <is>
          <t>Team Org</t>
        </is>
      </c>
    </row>
    <row r="19">
      <c r="A19" s="7" t="inlineStr">
        <is>
          <t>Ahmad Zaky Ash Shidqi</t>
        </is>
      </c>
      <c r="B19" s="7" t="inlineStr">
        <is>
          <t>PM/BA</t>
        </is>
      </c>
      <c r="C19" s="7" t="inlineStr">
        <is>
          <t>cashewwww14</t>
        </is>
      </c>
      <c r="D19" s="7" t="inlineStr">
        <is>
          <t>pm-and-business-analyst</t>
        </is>
      </c>
    </row>
    <row r="20">
      <c r="A20" s="7" t="inlineStr">
        <is>
          <t>Moh. Rafli Gusti Saputra</t>
        </is>
      </c>
      <c r="B20" s="7" t="inlineStr">
        <is>
          <t>Backend</t>
        </is>
      </c>
      <c r="C20" s="7" t="inlineStr">
        <is>
          <t>gustiirf</t>
        </is>
      </c>
      <c r="D20" s="7" t="inlineStr">
        <is>
          <t>backend</t>
        </is>
      </c>
    </row>
    <row r="21">
      <c r="A21" s="7" t="inlineStr">
        <is>
          <t>Muhammad Ikhwan</t>
        </is>
      </c>
      <c r="B21" s="7" t="inlineStr">
        <is>
          <t>Frontend</t>
        </is>
      </c>
      <c r="C21" s="7" t="inlineStr">
        <is>
          <t>Ikhwansantoso</t>
        </is>
      </c>
      <c r="D21" s="7" t="inlineStr">
        <is>
          <t>frontend-and-ui-ux</t>
        </is>
      </c>
    </row>
    <row r="22">
      <c r="A22" s="7" t="inlineStr">
        <is>
          <t>Mirza Syahrizal Fathir</t>
        </is>
      </c>
      <c r="B22" s="7" t="inlineStr">
        <is>
          <t>Data/ML</t>
        </is>
      </c>
      <c r="C22" s="7" t="inlineStr">
        <is>
          <t>(belum masuk org)</t>
        </is>
      </c>
      <c r="D22" s="7" t="inlineStr">
        <is>
          <t>data-and-ml</t>
        </is>
      </c>
    </row>
    <row r="23">
      <c r="A23" s="7" t="inlineStr">
        <is>
          <t>Ahmad Izzul Hamdan</t>
        </is>
      </c>
      <c r="B23" s="7" t="inlineStr">
        <is>
          <t>Infra/QA</t>
        </is>
      </c>
      <c r="C23" s="7" t="inlineStr">
        <is>
          <t>Hamdancml</t>
        </is>
      </c>
      <c r="D23" s="7" t="inlineStr">
        <is>
          <t>infra-and-qa</t>
        </is>
      </c>
    </row>
    <row r="24">
      <c r="A24" s="7" t="inlineStr">
        <is>
          <t>Faris Budi</t>
        </is>
      </c>
      <c r="B24" s="7" t="inlineStr">
        <is>
          <t>Product Owner (DPEA)</t>
        </is>
      </c>
      <c r="C24" s="7" t="inlineStr">
        <is>
          <t>—</t>
        </is>
      </c>
      <c r="D24" s="7" t="inlineStr">
        <is>
          <t>—</t>
        </is>
      </c>
    </row>
    <row r="25">
      <c r="A25" s="7" t="inlineStr">
        <is>
          <t>Andika Wahyu Prihandoko</t>
        </is>
      </c>
      <c r="B25" s="7" t="inlineStr">
        <is>
          <t>Mentor (DPEA)</t>
        </is>
      </c>
      <c r="C25" s="7" t="inlineStr">
        <is>
          <t>—</t>
        </is>
      </c>
      <c r="D25" s="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2026-09-14T12:39:05Z</dcterms:created>
  <dcterms:modified xsi:type="dcterms:W3CDTF">2026-09-14T12:39:06Z</dcterms:modified>
</cp:coreProperties>
</file>